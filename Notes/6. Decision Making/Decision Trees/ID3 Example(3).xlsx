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awleyo\OneDrive - South East Technological University\SETU\AI4G\Oisin\5-Decision Making\5b-Decision Trees\"/>
    </mc:Choice>
  </mc:AlternateContent>
  <xr:revisionPtr revIDLastSave="77" documentId="14_{D13CEF27-1E17-4EB6-8D3C-1667183CB020}" xr6:coauthVersionLast="36" xr6:coauthVersionMax="36" xr10:uidLastSave="{F96F0E71-AB14-4B1F-9372-7EACF6E96AD4}"/>
  <bookViews>
    <workbookView xWindow="0" yWindow="0" windowWidth="28800" windowHeight="12435" activeTab="1" xr2:uid="{00000000-000D-0000-FFFF-FFFF00000000}"/>
  </bookViews>
  <sheets>
    <sheet name="Naval Example Data" sheetId="4" r:id="rId1"/>
    <sheet name="Naval Example" sheetId="5" r:id="rId2"/>
    <sheet name="Naval Example Complete" sheetId="1" r:id="rId3"/>
    <sheet name="COVID-19" sheetId="2" r:id="rId4"/>
  </sheets>
  <definedNames>
    <definedName name="_xlnm._FilterDatabase" localSheetId="0" hidden="1">'Naval Example Data'!$A$1:$G$15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3" i="5" l="1"/>
  <c r="V14" i="5" s="1"/>
  <c r="T13" i="5"/>
  <c r="W13" i="1"/>
  <c r="U13" i="1"/>
  <c r="T14" i="5" l="1"/>
  <c r="T15" i="5" s="1"/>
  <c r="V15" i="5"/>
  <c r="U14" i="1"/>
  <c r="U15" i="1" s="1"/>
  <c r="W14" i="1"/>
  <c r="W15" i="1" s="1"/>
  <c r="U16" i="5" l="1"/>
  <c r="V16" i="1"/>
  <c r="AB54" i="1" l="1"/>
  <c r="AB56" i="1" s="1"/>
  <c r="T56" i="1" l="1"/>
  <c r="K54" i="1"/>
  <c r="K56" i="1" s="1"/>
  <c r="R29" i="1"/>
  <c r="P29" i="1"/>
  <c r="P30" i="1" s="1"/>
  <c r="P31" i="1" s="1"/>
  <c r="AB45" i="1"/>
  <c r="AB43" i="1"/>
  <c r="T44" i="1"/>
  <c r="T42" i="1"/>
  <c r="K27" i="1"/>
  <c r="T27" i="1"/>
  <c r="AL25" i="1"/>
  <c r="AL27" i="1" s="1"/>
  <c r="AK12" i="1"/>
  <c r="AI12" i="1"/>
  <c r="AP12" i="1"/>
  <c r="AP13" i="1" s="1"/>
  <c r="AP14" i="1" s="1"/>
  <c r="AN12" i="1"/>
  <c r="AN13" i="1" s="1"/>
  <c r="AN14" i="1" s="1"/>
  <c r="R30" i="1" l="1"/>
  <c r="R31" i="1" s="1"/>
  <c r="Q32" i="1" s="1"/>
  <c r="AO15" i="1"/>
  <c r="AI13" i="1"/>
  <c r="AI14" i="1" s="1"/>
  <c r="AK13" i="1"/>
  <c r="AK14" i="1" s="1"/>
  <c r="AB25" i="1"/>
  <c r="AB27" i="1" s="1"/>
  <c r="O22" i="1"/>
  <c r="X22" i="1"/>
  <c r="AJ15" i="1" l="1"/>
</calcChain>
</file>

<file path=xl/sharedStrings.xml><?xml version="1.0" encoding="utf-8"?>
<sst xmlns="http://schemas.openxmlformats.org/spreadsheetml/2006/main" count="794" uniqueCount="191">
  <si>
    <t>Day</t>
  </si>
  <si>
    <t>Outlook</t>
  </si>
  <si>
    <t>Temperature</t>
  </si>
  <si>
    <t>Humidity</t>
  </si>
  <si>
    <t>Wind</t>
  </si>
  <si>
    <t>Attack</t>
  </si>
  <si>
    <t>Sunny</t>
  </si>
  <si>
    <t>Hot</t>
  </si>
  <si>
    <t>High</t>
  </si>
  <si>
    <t>Weak</t>
  </si>
  <si>
    <t>No</t>
  </si>
  <si>
    <t>Strong</t>
  </si>
  <si>
    <t>Overcast</t>
  </si>
  <si>
    <t>Yes</t>
  </si>
  <si>
    <t>Rain</t>
  </si>
  <si>
    <t>Mild</t>
  </si>
  <si>
    <t>Cool</t>
  </si>
  <si>
    <t>Normal</t>
  </si>
  <si>
    <t>Starting Entropy</t>
  </si>
  <si>
    <t>9/14</t>
  </si>
  <si>
    <t>5/14</t>
  </si>
  <si>
    <t>3/7</t>
  </si>
  <si>
    <t>4/7</t>
  </si>
  <si>
    <t>6/7</t>
  </si>
  <si>
    <t>1/7</t>
  </si>
  <si>
    <t>P+</t>
  </si>
  <si>
    <t>P-</t>
  </si>
  <si>
    <r>
      <t>log</t>
    </r>
    <r>
      <rPr>
        <vertAlign val="subscript"/>
        <sz val="11"/>
        <color theme="1"/>
        <rFont val="Calibri"/>
        <family val="2"/>
        <scheme val="minor"/>
      </rPr>
      <t>2</t>
    </r>
  </si>
  <si>
    <t>9/14 x log</t>
  </si>
  <si>
    <t>5/14 x log</t>
  </si>
  <si>
    <t>6/7 x log</t>
  </si>
  <si>
    <t>1/7 x log</t>
  </si>
  <si>
    <t>Entropy(S)</t>
  </si>
  <si>
    <t>=</t>
  </si>
  <si>
    <r>
      <t>-P</t>
    </r>
    <r>
      <rPr>
        <vertAlign val="subscript"/>
        <sz val="16"/>
        <color theme="1"/>
        <rFont val="Calibri"/>
        <family val="2"/>
        <scheme val="minor"/>
      </rPr>
      <t>+</t>
    </r>
    <r>
      <rPr>
        <sz val="16"/>
        <color theme="1"/>
        <rFont val="Calibri"/>
        <family val="2"/>
        <scheme val="minor"/>
      </rPr>
      <t>Log(P</t>
    </r>
    <r>
      <rPr>
        <vertAlign val="subscript"/>
        <sz val="16"/>
        <color theme="1"/>
        <rFont val="Calibri"/>
        <family val="2"/>
        <scheme val="minor"/>
      </rPr>
      <t>+</t>
    </r>
    <r>
      <rPr>
        <sz val="16"/>
        <color theme="1"/>
        <rFont val="Calibri"/>
        <family val="2"/>
        <scheme val="minor"/>
      </rPr>
      <t>) - P</t>
    </r>
    <r>
      <rPr>
        <vertAlign val="subscript"/>
        <sz val="16"/>
        <color theme="1"/>
        <rFont val="Calibri"/>
        <family val="2"/>
        <scheme val="minor"/>
      </rPr>
      <t>-</t>
    </r>
    <r>
      <rPr>
        <sz val="16"/>
        <color theme="1"/>
        <rFont val="Calibri"/>
        <family val="2"/>
        <scheme val="minor"/>
      </rPr>
      <t>Log(P</t>
    </r>
    <r>
      <rPr>
        <vertAlign val="subscript"/>
        <sz val="16"/>
        <color theme="1"/>
        <rFont val="Calibri"/>
        <family val="2"/>
        <scheme val="minor"/>
      </rPr>
      <t>-</t>
    </r>
    <r>
      <rPr>
        <sz val="16"/>
        <color theme="1"/>
        <rFont val="Calibri"/>
        <family val="2"/>
        <scheme val="minor"/>
      </rPr>
      <t>)</t>
    </r>
  </si>
  <si>
    <t>Add</t>
  </si>
  <si>
    <t>-9/14 x Log(9/14) - 5/14 x Log(5/14)</t>
  </si>
  <si>
    <t>Outlook is sunny</t>
  </si>
  <si>
    <t>P+ = 2/5</t>
  </si>
  <si>
    <t>P- = 3/5</t>
  </si>
  <si>
    <t>Entropy = 0.971</t>
  </si>
  <si>
    <t>Wind is weak</t>
  </si>
  <si>
    <t>P+ = 6/8</t>
  </si>
  <si>
    <t>P- = 2/8</t>
  </si>
  <si>
    <t>Entropy = 0.811</t>
  </si>
  <si>
    <t>Temp is hot</t>
  </si>
  <si>
    <t>P+ = 2/4</t>
  </si>
  <si>
    <t>P- = 2/4</t>
  </si>
  <si>
    <t>Entropy = 1</t>
  </si>
  <si>
    <t>Humidity is high</t>
  </si>
  <si>
    <t>P+ = 3/7 P- = 4/7</t>
  </si>
  <si>
    <t>Entropy = 0.93</t>
  </si>
  <si>
    <t>Outlook is overcast</t>
  </si>
  <si>
    <t>P+ = 4/4</t>
  </si>
  <si>
    <t>P- = 0</t>
  </si>
  <si>
    <t>Entropy = 0</t>
  </si>
  <si>
    <t>Wind is strong</t>
  </si>
  <si>
    <t>P+ = 3/6</t>
  </si>
  <si>
    <t>P- = 3/6</t>
  </si>
  <si>
    <t>Entropy = 1.0</t>
  </si>
  <si>
    <t>Temp is mid</t>
  </si>
  <si>
    <t>P+ = 4/6</t>
  </si>
  <si>
    <t>P- = 2/6</t>
  </si>
  <si>
    <t>Entropy = 0.92</t>
  </si>
  <si>
    <t>Humidity is normal</t>
  </si>
  <si>
    <t>P+ = 6/7 P- = 1/7</t>
  </si>
  <si>
    <t>Entropy = 0.59</t>
  </si>
  <si>
    <t>Outlook is rain</t>
  </si>
  <si>
    <t>P+ = 3/5</t>
  </si>
  <si>
    <t>P- = 2/5</t>
  </si>
  <si>
    <t>Temp is cool</t>
  </si>
  <si>
    <t>P+ = 3/4</t>
  </si>
  <si>
    <t>P- = 1/4</t>
  </si>
  <si>
    <t>Entropy = 0.81</t>
  </si>
  <si>
    <t>Entropy(Outlook)</t>
  </si>
  <si>
    <t>(5/14 x 0.971) + (4/14 x 0) + (5/14 x 0.971)</t>
  </si>
  <si>
    <t>Entropy(Wind)</t>
  </si>
  <si>
    <t>(8/14 x 0.811) + (6/14 x 1.0)</t>
  </si>
  <si>
    <t>Entropy(Temp)</t>
  </si>
  <si>
    <t>(4/14 x 1) + (6/14 x 0.92) + (4/14 x 0.81)</t>
  </si>
  <si>
    <t>Entropy (Humidity)</t>
  </si>
  <si>
    <t>(7/14 x 0.93) + (7/14 * 0.59)</t>
  </si>
  <si>
    <t>0.892</t>
  </si>
  <si>
    <t>Gain(Outlook)</t>
  </si>
  <si>
    <t>0.94 - 0.694</t>
  </si>
  <si>
    <t>Gain(Wind)</t>
  </si>
  <si>
    <t>0.94 - 0.892</t>
  </si>
  <si>
    <t>Gain(Temp)</t>
  </si>
  <si>
    <t>0.94 - 0.9114</t>
  </si>
  <si>
    <t>Gain(Humidity)</t>
  </si>
  <si>
    <t>0.94 - 0.76</t>
  </si>
  <si>
    <t>1/1</t>
  </si>
  <si>
    <t>Gain(Temperature)</t>
  </si>
  <si>
    <t>Then for Outlook=Sunny only</t>
  </si>
  <si>
    <t>Entropy for Sunny</t>
  </si>
  <si>
    <t>-2/5 x Log(2/5) - 3/5 x Log(3/5)</t>
  </si>
  <si>
    <t>P+ = 0/3</t>
  </si>
  <si>
    <t>P- = 3/3</t>
  </si>
  <si>
    <t>P+ = 1/2</t>
  </si>
  <si>
    <t>P- = 1/2</t>
  </si>
  <si>
    <t>P+ = 1/1</t>
  </si>
  <si>
    <t>P- = 0/1</t>
  </si>
  <si>
    <t>P+ = 2/2</t>
  </si>
  <si>
    <t>P- = 0/2</t>
  </si>
  <si>
    <t>P+ = 1/3</t>
  </si>
  <si>
    <t>P- = 2/3</t>
  </si>
  <si>
    <t>Entropy = 0.918</t>
  </si>
  <si>
    <t>P+ = 0/2</t>
  </si>
  <si>
    <t>P- = 2/2</t>
  </si>
  <si>
    <t>Entropy(Humidity)</t>
  </si>
  <si>
    <t>(0/3 x 0) + (3/3 x 0)</t>
  </si>
  <si>
    <t>(2/5 x 1) + (3/5 x 0.918)</t>
  </si>
  <si>
    <t>Temp is mild</t>
  </si>
  <si>
    <t>(1/5 x 0) + (2/5 x 0) + (2/5 x 1)</t>
  </si>
  <si>
    <t>0.971 - 0</t>
  </si>
  <si>
    <t>0.971 - 0.951</t>
  </si>
  <si>
    <t>0.971 - 0.4</t>
  </si>
  <si>
    <t>Then for Outlook=Rain only</t>
  </si>
  <si>
    <t>Entropy for Rain</t>
  </si>
  <si>
    <t>-3/5 x Log(3/5) - 2/5 x Log(2/5)</t>
  </si>
  <si>
    <t>P+ = 2/3</t>
  </si>
  <si>
    <t>P- = 1/3</t>
  </si>
  <si>
    <t>P+ = 3/3</t>
  </si>
  <si>
    <t>P- = 0/3</t>
  </si>
  <si>
    <t>(2/5 x 0) + (3/5 x 0)</t>
  </si>
  <si>
    <t>Entropy(Temperature)</t>
  </si>
  <si>
    <t>ID;Fever;Cough;Breathing issues;Infected</t>
  </si>
  <si>
    <t>Fever;Cough;Breathing issues;Infected</t>
  </si>
  <si>
    <t>ID | Fever | Cough | Breathing issues | Infected |</t>
  </si>
  <si>
    <t>1;NO;NO;NO;;NO</t>
  </si>
  <si>
    <t>NO;NO;NO;NO</t>
  </si>
  <si>
    <t>| 1  | NO    | NO    | NO               | NO       |</t>
  </si>
  <si>
    <t>2;YES;YES;YES;YES</t>
  </si>
  <si>
    <t>YES;YES;YES;YES</t>
  </si>
  <si>
    <t>| 2  | YES   | YES   | YES              | YES      |</t>
  </si>
  <si>
    <t>3;YES,YES,NO,NO</t>
  </si>
  <si>
    <t>YES;YES;NO;NO</t>
  </si>
  <si>
    <t>| 3  | YES   | YES   | NO               | NO       |</t>
  </si>
  <si>
    <t>4;YES;NO;YES;YES</t>
  </si>
  <si>
    <t>YES;NO;YES;YES</t>
  </si>
  <si>
    <t>| 4  | YES   | NO    | YES              | YES      |</t>
  </si>
  <si>
    <t>5;YES;YES;YES;YES</t>
  </si>
  <si>
    <t>| 5  | YES   | YES   | YES              | YES      |</t>
  </si>
  <si>
    <t>6;NO;YES;NO;NO</t>
  </si>
  <si>
    <t>NO;YES;NO;NO</t>
  </si>
  <si>
    <t>| 6  | NO    | YES   | NO               | NO       |</t>
  </si>
  <si>
    <t>7;YES;NO;YES;YES</t>
  </si>
  <si>
    <t>| 7  | YES   | NO    | YES              | YES      |</t>
  </si>
  <si>
    <t>8;YES;NO;YES;YES</t>
  </si>
  <si>
    <t>| 8  | YES   | NO    | YES              | YES      |</t>
  </si>
  <si>
    <t>9;NO;YES;YES;YES</t>
  </si>
  <si>
    <t>NO;YES;YES;YES</t>
  </si>
  <si>
    <t>| 9  | NO    | YES   | YES              | YES      |</t>
  </si>
  <si>
    <t>10;YES,YES,NO,YES</t>
  </si>
  <si>
    <t>YES;YES;NO;YES</t>
  </si>
  <si>
    <t>| 10 | YES   | YES   | NO               | YES      |</t>
  </si>
  <si>
    <t>11;NO;YES;NO;NO</t>
  </si>
  <si>
    <t>| 11 | NO    | YES   | NO               | NO       |</t>
  </si>
  <si>
    <t>12;NO;YES;YES;YES</t>
  </si>
  <si>
    <t>| 12 | NO    | YES   | YES              | YES      |</t>
  </si>
  <si>
    <t>13;NO;YES;YES;NO</t>
  </si>
  <si>
    <t>NO;YES;YES;NO</t>
  </si>
  <si>
    <t>| 13 | NO    | YES   | YES              | NO       |</t>
  </si>
  <si>
    <t>14;YES,YES,NO,NO</t>
  </si>
  <si>
    <t xml:space="preserve">| 14 | YES   | YES   | NO               | NO       </t>
  </si>
  <si>
    <t>Outlook;Temperature;Humidity;Wind;Attack</t>
  </si>
  <si>
    <t>Sunny;Hot;High;Weak;No</t>
  </si>
  <si>
    <t>Sunny;Hot;High;Strong;No</t>
  </si>
  <si>
    <t>Overcast;Hot;High;Weak;Yes</t>
  </si>
  <si>
    <t>Rain;Mild;High;Weak;Yes</t>
  </si>
  <si>
    <t>Rain;Cool;Normal;Weak;Yes</t>
  </si>
  <si>
    <t>Rain;Cool;Normal;Strong;No</t>
  </si>
  <si>
    <t>Overcast;Cool;Normal;Strong;Yes</t>
  </si>
  <si>
    <t>Sunny;Mild;High;Weak;No</t>
  </si>
  <si>
    <t>Sunny;Cool;Normal;Weak;Yes</t>
  </si>
  <si>
    <t>Rain;Mild;Normal;Weak;Yes</t>
  </si>
  <si>
    <t>Sunny;Mild;Normal;Strong;Yes</t>
  </si>
  <si>
    <t>Overcast;Mild;High;Strong;Yes</t>
  </si>
  <si>
    <t>Overcast;Hot;Normal;Weak;Yes</t>
  </si>
  <si>
    <t>Rain;Mild;High;Strong;No</t>
  </si>
  <si>
    <t>Then for Outlook=Overcast only</t>
  </si>
  <si>
    <t>Entropy for Overcast</t>
  </si>
  <si>
    <t>-4/4 x Log(4/4) - 0/4 x Log(0/4)</t>
  </si>
  <si>
    <r>
      <t>log</t>
    </r>
    <r>
      <rPr>
        <vertAlign val="subscript"/>
        <sz val="16"/>
        <color theme="1"/>
        <rFont val="Calibri"/>
        <family val="2"/>
        <scheme val="minor"/>
      </rPr>
      <t>2</t>
    </r>
  </si>
  <si>
    <t>Mult</t>
  </si>
  <si>
    <t xml:space="preserve">P+ = </t>
  </si>
  <si>
    <t xml:space="preserve">P- = </t>
  </si>
  <si>
    <t>Entropy</t>
  </si>
  <si>
    <t>Information Gain per attribute (a)</t>
  </si>
  <si>
    <t>Total Entropy - Entropy(Outlook)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</si>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</sst>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9"/>
      <name val="Calibri"/>
      <family val="2"/>
      <scheme val="minor"/>
    </font>
    <font>
      <sz val="16"/>
      <color rgb="FFFF0000"/>
      <name val="Calibri"/>
      <family val="2"/>
      <scheme val="minor"/>
    </font>
    <font>
      <vertAlign val="subscript"/>
      <sz val="16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2"/>
      <color rgb="FF292929"/>
      <name val="Courier New"/>
      <family val="3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8" borderId="0" applyNumberFormat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5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/>
    <xf numFmtId="0" fontId="0" fillId="0" borderId="0" xfId="0" quotePrefix="1" applyAlignment="1">
      <alignment horizontal="center"/>
    </xf>
    <xf numFmtId="0" fontId="0" fillId="6" borderId="0" xfId="0" applyFill="1"/>
    <xf numFmtId="0" fontId="5" fillId="0" borderId="0" xfId="0" applyFont="1" applyAlignment="1">
      <alignment horizontal="left"/>
    </xf>
    <xf numFmtId="0" fontId="1" fillId="0" borderId="0" xfId="0" applyFont="1"/>
    <xf numFmtId="164" fontId="3" fillId="0" borderId="0" xfId="0" quotePrefix="1" applyNumberFormat="1" applyFont="1" applyAlignment="1">
      <alignment horizontal="left"/>
    </xf>
    <xf numFmtId="0" fontId="3" fillId="7" borderId="0" xfId="0" applyFont="1" applyFill="1"/>
    <xf numFmtId="0" fontId="3" fillId="7" borderId="0" xfId="0" applyFont="1" applyFill="1" applyAlignment="1">
      <alignment horizontal="center"/>
    </xf>
    <xf numFmtId="0" fontId="8" fillId="8" borderId="0" xfId="1"/>
    <xf numFmtId="0" fontId="9" fillId="0" borderId="0" xfId="0" applyFont="1"/>
    <xf numFmtId="16" fontId="0" fillId="0" borderId="0" xfId="0" quotePrefix="1" applyNumberForma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quotePrefix="1" applyNumberFormat="1" applyFont="1" applyAlignment="1">
      <alignment horizontal="left"/>
    </xf>
    <xf numFmtId="0" fontId="2" fillId="0" borderId="0" xfId="0" quotePrefix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3" fillId="2" borderId="0" xfId="0" applyFont="1" applyFill="1"/>
    <xf numFmtId="0" fontId="2" fillId="7" borderId="0" xfId="0" applyFont="1" applyFill="1" applyAlignment="1">
      <alignment horizontal="left"/>
    </xf>
    <xf numFmtId="164" fontId="2" fillId="7" borderId="0" xfId="0" applyNumberFormat="1" applyFont="1" applyFill="1" applyAlignment="1">
      <alignment horizontal="left"/>
    </xf>
    <xf numFmtId="0" fontId="3" fillId="9" borderId="0" xfId="0" applyFont="1" applyFill="1" applyAlignment="1">
      <alignment horizontal="left"/>
    </xf>
    <xf numFmtId="0" fontId="3" fillId="9" borderId="0" xfId="0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 applyFill="1"/>
    <xf numFmtId="0" fontId="4" fillId="0" borderId="0" xfId="0" applyFont="1" applyFill="1" applyAlignment="1">
      <alignment horizontal="center"/>
    </xf>
    <xf numFmtId="0" fontId="5" fillId="0" borderId="0" xfId="0" applyFont="1" applyFill="1"/>
    <xf numFmtId="0" fontId="5" fillId="0" borderId="0" xfId="0" applyFont="1" applyFill="1" applyAlignment="1">
      <alignment horizontal="center"/>
    </xf>
    <xf numFmtId="0" fontId="2" fillId="0" borderId="0" xfId="0" applyFont="1"/>
    <xf numFmtId="0" fontId="3" fillId="0" borderId="1" xfId="0" quotePrefix="1" applyFont="1" applyBorder="1" applyAlignment="1">
      <alignment horizontal="center"/>
    </xf>
    <xf numFmtId="0" fontId="3" fillId="0" borderId="2" xfId="0" quotePrefix="1" applyFont="1" applyBorder="1" applyAlignment="1">
      <alignment horizontal="center"/>
    </xf>
    <xf numFmtId="0" fontId="3" fillId="0" borderId="3" xfId="0" quotePrefix="1" applyFont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0" fontId="3" fillId="0" borderId="0" xfId="0" quotePrefix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/>
    <xf numFmtId="164" fontId="3" fillId="0" borderId="0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164" fontId="3" fillId="6" borderId="0" xfId="0" applyNumberFormat="1" applyFont="1" applyFill="1" applyBorder="1" applyAlignment="1">
      <alignment horizontal="center"/>
    </xf>
    <xf numFmtId="164" fontId="3" fillId="6" borderId="5" xfId="0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5" fillId="6" borderId="7" xfId="0" applyNumberFormat="1" applyFont="1" applyFill="1" applyBorder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349698</xdr:colOff>
      <xdr:row>1</xdr:row>
      <xdr:rowOff>19050</xdr:rowOff>
    </xdr:from>
    <xdr:to>
      <xdr:col>16</xdr:col>
      <xdr:colOff>662662</xdr:colOff>
      <xdr:row>2</xdr:row>
      <xdr:rowOff>28575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971F344C-A2E5-4D91-996E-609EA4CBB42C}"/>
            </a:ext>
          </a:extLst>
        </xdr:cNvPr>
        <xdr:cNvCxnSpPr/>
      </xdr:nvCxnSpPr>
      <xdr:spPr>
        <a:xfrm flipH="1">
          <a:off x="12473662" y="291193"/>
          <a:ext cx="993321" cy="28166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345615</xdr:colOff>
      <xdr:row>1</xdr:row>
      <xdr:rowOff>9525</xdr:rowOff>
    </xdr:from>
    <xdr:to>
      <xdr:col>17</xdr:col>
      <xdr:colOff>345615</xdr:colOff>
      <xdr:row>1</xdr:row>
      <xdr:rowOff>257175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E6DBF76-2CBD-448F-9567-5EDBC58BB2F1}"/>
            </a:ext>
          </a:extLst>
        </xdr:cNvPr>
        <xdr:cNvCxnSpPr/>
      </xdr:nvCxnSpPr>
      <xdr:spPr>
        <a:xfrm>
          <a:off x="13857508" y="281668"/>
          <a:ext cx="0" cy="247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114294</xdr:colOff>
      <xdr:row>0</xdr:row>
      <xdr:rowOff>247650</xdr:rowOff>
    </xdr:from>
    <xdr:to>
      <xdr:col>19</xdr:col>
      <xdr:colOff>198658</xdr:colOff>
      <xdr:row>2</xdr:row>
      <xdr:rowOff>9525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E5EFFB5D-91E1-47C7-A253-C4D94AE9BAD3}"/>
            </a:ext>
          </a:extLst>
        </xdr:cNvPr>
        <xdr:cNvCxnSpPr/>
      </xdr:nvCxnSpPr>
      <xdr:spPr>
        <a:xfrm>
          <a:off x="14238508" y="247650"/>
          <a:ext cx="696686" cy="30616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156476</xdr:colOff>
      <xdr:row>3</xdr:row>
      <xdr:rowOff>19050</xdr:rowOff>
    </xdr:from>
    <xdr:to>
      <xdr:col>14</xdr:col>
      <xdr:colOff>590544</xdr:colOff>
      <xdr:row>4</xdr:row>
      <xdr:rowOff>47625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862733BA-7F41-4E84-B44E-C206A4138836}"/>
            </a:ext>
          </a:extLst>
        </xdr:cNvPr>
        <xdr:cNvCxnSpPr/>
      </xdr:nvCxnSpPr>
      <xdr:spPr>
        <a:xfrm flipH="1">
          <a:off x="11668119" y="835479"/>
          <a:ext cx="434068" cy="3007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589183</xdr:colOff>
      <xdr:row>3</xdr:row>
      <xdr:rowOff>19050</xdr:rowOff>
    </xdr:from>
    <xdr:to>
      <xdr:col>20</xdr:col>
      <xdr:colOff>212265</xdr:colOff>
      <xdr:row>4</xdr:row>
      <xdr:rowOff>19050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653AEF50-EA22-49D1-9A72-01C2C3FF6CDF}"/>
            </a:ext>
          </a:extLst>
        </xdr:cNvPr>
        <xdr:cNvCxnSpPr/>
      </xdr:nvCxnSpPr>
      <xdr:spPr>
        <a:xfrm>
          <a:off x="15325719" y="835479"/>
          <a:ext cx="412296" cy="27214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446308</xdr:colOff>
      <xdr:row>5</xdr:row>
      <xdr:rowOff>9525</xdr:rowOff>
    </xdr:from>
    <xdr:to>
      <xdr:col>20</xdr:col>
      <xdr:colOff>40815</xdr:colOff>
      <xdr:row>6</xdr:row>
      <xdr:rowOff>19050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B64F26C-C004-4724-872D-3EF6FF452A64}"/>
            </a:ext>
          </a:extLst>
        </xdr:cNvPr>
        <xdr:cNvCxnSpPr/>
      </xdr:nvCxnSpPr>
      <xdr:spPr>
        <a:xfrm flipH="1">
          <a:off x="15182844" y="1370239"/>
          <a:ext cx="383721" cy="28166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421815</xdr:colOff>
      <xdr:row>5</xdr:row>
      <xdr:rowOff>0</xdr:rowOff>
    </xdr:from>
    <xdr:to>
      <xdr:col>21</xdr:col>
      <xdr:colOff>257168</xdr:colOff>
      <xdr:row>6</xdr:row>
      <xdr:rowOff>28575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7CEB0914-14B5-4BE2-9F41-F887263F1B65}"/>
            </a:ext>
          </a:extLst>
        </xdr:cNvPr>
        <xdr:cNvCxnSpPr/>
      </xdr:nvCxnSpPr>
      <xdr:spPr>
        <a:xfrm>
          <a:off x="15947565" y="1360714"/>
          <a:ext cx="556532" cy="300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398683</xdr:colOff>
      <xdr:row>7</xdr:row>
      <xdr:rowOff>28575</xdr:rowOff>
    </xdr:from>
    <xdr:to>
      <xdr:col>19</xdr:col>
      <xdr:colOff>408208</xdr:colOff>
      <xdr:row>8</xdr:row>
      <xdr:rowOff>57150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10B72828-15CC-418B-9E2F-29FB315991CB}"/>
            </a:ext>
          </a:extLst>
        </xdr:cNvPr>
        <xdr:cNvCxnSpPr/>
      </xdr:nvCxnSpPr>
      <xdr:spPr>
        <a:xfrm>
          <a:off x="15135219" y="1933575"/>
          <a:ext cx="9525" cy="300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209543</xdr:colOff>
      <xdr:row>7</xdr:row>
      <xdr:rowOff>28575</xdr:rowOff>
    </xdr:from>
    <xdr:to>
      <xdr:col>21</xdr:col>
      <xdr:colOff>209543</xdr:colOff>
      <xdr:row>8</xdr:row>
      <xdr:rowOff>66675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471D6C34-878A-4580-A91F-1751ADF81445}"/>
            </a:ext>
          </a:extLst>
        </xdr:cNvPr>
        <xdr:cNvCxnSpPr/>
      </xdr:nvCxnSpPr>
      <xdr:spPr>
        <a:xfrm>
          <a:off x="16456472" y="1933575"/>
          <a:ext cx="0" cy="3102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287110</xdr:colOff>
      <xdr:row>6</xdr:row>
      <xdr:rowOff>80283</xdr:rowOff>
    </xdr:from>
    <xdr:to>
      <xdr:col>11</xdr:col>
      <xdr:colOff>727827</xdr:colOff>
      <xdr:row>9</xdr:row>
      <xdr:rowOff>216286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D5ABDBB-4101-4D3F-8002-612A06DEF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53074" y="1713140"/>
          <a:ext cx="4495646" cy="952432"/>
        </a:xfrm>
        <a:prstGeom prst="rect">
          <a:avLst/>
        </a:prstGeom>
      </xdr:spPr>
    </xdr:pic>
    <xdr:clientData/>
  </xdr:twoCellAnchor>
  <xdr:twoCellAnchor editAs="oneCell">
    <xdr:from>
      <xdr:col>0</xdr:col>
      <xdr:colOff>160565</xdr:colOff>
      <xdr:row>17</xdr:row>
      <xdr:rowOff>40821</xdr:rowOff>
    </xdr:from>
    <xdr:to>
      <xdr:col>6</xdr:col>
      <xdr:colOff>559232</xdr:colOff>
      <xdr:row>20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A648DAD-29B6-48A1-AED3-47F4E1962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565" y="4721678"/>
          <a:ext cx="5052310" cy="775608"/>
        </a:xfrm>
        <a:prstGeom prst="rect">
          <a:avLst/>
        </a:prstGeom>
      </xdr:spPr>
    </xdr:pic>
    <xdr:clientData/>
  </xdr:twoCellAnchor>
  <xdr:twoCellAnchor>
    <xdr:from>
      <xdr:col>6</xdr:col>
      <xdr:colOff>272143</xdr:colOff>
      <xdr:row>19</xdr:row>
      <xdr:rowOff>258536</xdr:rowOff>
    </xdr:from>
    <xdr:to>
      <xdr:col>7</xdr:col>
      <xdr:colOff>504827</xdr:colOff>
      <xdr:row>23</xdr:row>
      <xdr:rowOff>152401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D20667A1-70B2-4352-9CCA-BD7039266BFF}"/>
            </a:ext>
          </a:extLst>
        </xdr:cNvPr>
        <xdr:cNvCxnSpPr/>
      </xdr:nvCxnSpPr>
      <xdr:spPr>
        <a:xfrm flipH="1" flipV="1">
          <a:off x="4925786" y="5483679"/>
          <a:ext cx="845005" cy="98243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263973</xdr:colOff>
      <xdr:row>3</xdr:row>
      <xdr:rowOff>19050</xdr:rowOff>
    </xdr:from>
    <xdr:to>
      <xdr:col>17</xdr:col>
      <xdr:colOff>155115</xdr:colOff>
      <xdr:row>3</xdr:row>
      <xdr:rowOff>247650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E53B8032-BE51-4184-A2E8-CEDF348D98E7}"/>
            </a:ext>
          </a:extLst>
        </xdr:cNvPr>
        <xdr:cNvCxnSpPr/>
      </xdr:nvCxnSpPr>
      <xdr:spPr>
        <a:xfrm flipH="1">
          <a:off x="13068294" y="835479"/>
          <a:ext cx="598714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140148</xdr:colOff>
      <xdr:row>5</xdr:row>
      <xdr:rowOff>28575</xdr:rowOff>
    </xdr:from>
    <xdr:to>
      <xdr:col>15</xdr:col>
      <xdr:colOff>630005</xdr:colOff>
      <xdr:row>6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8F18AC3C-C0E8-4C8A-AF38-91229CC0E1A2}"/>
            </a:ext>
          </a:extLst>
        </xdr:cNvPr>
        <xdr:cNvCxnSpPr/>
      </xdr:nvCxnSpPr>
      <xdr:spPr>
        <a:xfrm flipH="1">
          <a:off x="12264112" y="1389289"/>
          <a:ext cx="489857" cy="24356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654498</xdr:colOff>
      <xdr:row>5</xdr:row>
      <xdr:rowOff>9525</xdr:rowOff>
    </xdr:from>
    <xdr:to>
      <xdr:col>17</xdr:col>
      <xdr:colOff>231315</xdr:colOff>
      <xdr:row>5</xdr:row>
      <xdr:rowOff>257175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1980C278-D516-44FB-9006-D434BA0C664D}"/>
            </a:ext>
          </a:extLst>
        </xdr:cNvPr>
        <xdr:cNvCxnSpPr/>
      </xdr:nvCxnSpPr>
      <xdr:spPr>
        <a:xfrm>
          <a:off x="13458819" y="1370239"/>
          <a:ext cx="284389" cy="247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164640</xdr:colOff>
      <xdr:row>7</xdr:row>
      <xdr:rowOff>9525</xdr:rowOff>
    </xdr:from>
    <xdr:to>
      <xdr:col>17</xdr:col>
      <xdr:colOff>231315</xdr:colOff>
      <xdr:row>8</xdr:row>
      <xdr:rowOff>57150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FFE69B9-8932-43E7-9F3B-3D5B472D64E2}"/>
            </a:ext>
          </a:extLst>
        </xdr:cNvPr>
        <xdr:cNvCxnSpPr/>
      </xdr:nvCxnSpPr>
      <xdr:spPr>
        <a:xfrm>
          <a:off x="13676533" y="1914525"/>
          <a:ext cx="66675" cy="31976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552444</xdr:colOff>
      <xdr:row>7</xdr:row>
      <xdr:rowOff>28575</xdr:rowOff>
    </xdr:from>
    <xdr:to>
      <xdr:col>14</xdr:col>
      <xdr:colOff>609594</xdr:colOff>
      <xdr:row>8</xdr:row>
      <xdr:rowOff>66675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F3DE6A03-167B-40F2-863A-AD1C13EAA883}"/>
            </a:ext>
          </a:extLst>
        </xdr:cNvPr>
        <xdr:cNvCxnSpPr/>
      </xdr:nvCxnSpPr>
      <xdr:spPr>
        <a:xfrm flipH="1">
          <a:off x="12064087" y="1933575"/>
          <a:ext cx="57150" cy="3102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581025</xdr:colOff>
      <xdr:row>1</xdr:row>
      <xdr:rowOff>19050</xdr:rowOff>
    </xdr:from>
    <xdr:to>
      <xdr:col>19</xdr:col>
      <xdr:colOff>9525</xdr:colOff>
      <xdr:row>2</xdr:row>
      <xdr:rowOff>28575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7886700" y="285750"/>
          <a:ext cx="647700" cy="276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400050</xdr:colOff>
      <xdr:row>1</xdr:row>
      <xdr:rowOff>9525</xdr:rowOff>
    </xdr:from>
    <xdr:to>
      <xdr:col>19</xdr:col>
      <xdr:colOff>400050</xdr:colOff>
      <xdr:row>1</xdr:row>
      <xdr:rowOff>257175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8924925" y="276225"/>
          <a:ext cx="0" cy="247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781050</xdr:colOff>
      <xdr:row>0</xdr:row>
      <xdr:rowOff>247650</xdr:rowOff>
    </xdr:from>
    <xdr:to>
      <xdr:col>21</xdr:col>
      <xdr:colOff>76200</xdr:colOff>
      <xdr:row>2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9305925" y="247650"/>
          <a:ext cx="695325" cy="295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619125</xdr:colOff>
      <xdr:row>3</xdr:row>
      <xdr:rowOff>19050</xdr:rowOff>
    </xdr:from>
    <xdr:to>
      <xdr:col>17</xdr:col>
      <xdr:colOff>209550</xdr:colOff>
      <xdr:row>4</xdr:row>
      <xdr:rowOff>47625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>
          <a:off x="8153400" y="819150"/>
          <a:ext cx="428625" cy="295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466725</xdr:colOff>
      <xdr:row>3</xdr:row>
      <xdr:rowOff>19050</xdr:rowOff>
    </xdr:from>
    <xdr:to>
      <xdr:col>22</xdr:col>
      <xdr:colOff>266700</xdr:colOff>
      <xdr:row>4</xdr:row>
      <xdr:rowOff>19050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>
          <a:off x="10391775" y="819150"/>
          <a:ext cx="409575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323850</xdr:colOff>
      <xdr:row>5</xdr:row>
      <xdr:rowOff>9525</xdr:rowOff>
    </xdr:from>
    <xdr:to>
      <xdr:col>22</xdr:col>
      <xdr:colOff>95250</xdr:colOff>
      <xdr:row>6</xdr:row>
      <xdr:rowOff>19050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H="1">
          <a:off x="10248900" y="1343025"/>
          <a:ext cx="381000" cy="276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476250</xdr:colOff>
      <xdr:row>5</xdr:row>
      <xdr:rowOff>0</xdr:rowOff>
    </xdr:from>
    <xdr:to>
      <xdr:col>23</xdr:col>
      <xdr:colOff>352425</xdr:colOff>
      <xdr:row>6</xdr:row>
      <xdr:rowOff>28575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>
          <a:off x="11010900" y="1333500"/>
          <a:ext cx="485775" cy="295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276225</xdr:colOff>
      <xdr:row>7</xdr:row>
      <xdr:rowOff>28575</xdr:rowOff>
    </xdr:from>
    <xdr:to>
      <xdr:col>21</xdr:col>
      <xdr:colOff>285750</xdr:colOff>
      <xdr:row>8</xdr:row>
      <xdr:rowOff>57150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>
          <a:off x="10201275" y="1895475"/>
          <a:ext cx="9525" cy="2952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304800</xdr:colOff>
      <xdr:row>7</xdr:row>
      <xdr:rowOff>28575</xdr:rowOff>
    </xdr:from>
    <xdr:to>
      <xdr:col>23</xdr:col>
      <xdr:colOff>304800</xdr:colOff>
      <xdr:row>8</xdr:row>
      <xdr:rowOff>66675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>
          <a:off x="11449050" y="1895475"/>
          <a:ext cx="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409575</xdr:colOff>
      <xdr:row>5</xdr:row>
      <xdr:rowOff>161925</xdr:rowOff>
    </xdr:from>
    <xdr:to>
      <xdr:col>12</xdr:col>
      <xdr:colOff>61078</xdr:colOff>
      <xdr:row>9</xdr:row>
      <xdr:rowOff>25785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75539" y="1522639"/>
          <a:ext cx="4495646" cy="952432"/>
        </a:xfrm>
        <a:prstGeom prst="rect">
          <a:avLst/>
        </a:prstGeom>
      </xdr:spPr>
    </xdr:pic>
    <xdr:clientData/>
  </xdr:twoCellAnchor>
  <xdr:twoCellAnchor editAs="oneCell">
    <xdr:from>
      <xdr:col>0</xdr:col>
      <xdr:colOff>214993</xdr:colOff>
      <xdr:row>16</xdr:row>
      <xdr:rowOff>244929</xdr:rowOff>
    </xdr:from>
    <xdr:to>
      <xdr:col>7</xdr:col>
      <xdr:colOff>68037</xdr:colOff>
      <xdr:row>19</xdr:row>
      <xdr:rowOff>187133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993" y="4653643"/>
          <a:ext cx="5119008" cy="785847"/>
        </a:xfrm>
        <a:prstGeom prst="rect">
          <a:avLst/>
        </a:prstGeom>
      </xdr:spPr>
    </xdr:pic>
    <xdr:clientData/>
  </xdr:twoCellAnchor>
  <xdr:twoCellAnchor>
    <xdr:from>
      <xdr:col>5</xdr:col>
      <xdr:colOff>585108</xdr:colOff>
      <xdr:row>19</xdr:row>
      <xdr:rowOff>108857</xdr:rowOff>
    </xdr:from>
    <xdr:to>
      <xdr:col>7</xdr:col>
      <xdr:colOff>504827</xdr:colOff>
      <xdr:row>23</xdr:row>
      <xdr:rowOff>152400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563FABD-1419-4D93-A444-063AEDFDA911}"/>
            </a:ext>
          </a:extLst>
        </xdr:cNvPr>
        <xdr:cNvCxnSpPr/>
      </xdr:nvCxnSpPr>
      <xdr:spPr>
        <a:xfrm flipH="1" flipV="1">
          <a:off x="4626429" y="5361214"/>
          <a:ext cx="1144362" cy="113211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400050</xdr:colOff>
      <xdr:row>3</xdr:row>
      <xdr:rowOff>19050</xdr:rowOff>
    </xdr:from>
    <xdr:to>
      <xdr:col>19</xdr:col>
      <xdr:colOff>209550</xdr:colOff>
      <xdr:row>3</xdr:row>
      <xdr:rowOff>247650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968EF5B3-AFB6-4895-A64D-6008CDC732B1}"/>
            </a:ext>
          </a:extLst>
        </xdr:cNvPr>
        <xdr:cNvCxnSpPr/>
      </xdr:nvCxnSpPr>
      <xdr:spPr>
        <a:xfrm flipH="1">
          <a:off x="7934325" y="819150"/>
          <a:ext cx="64770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371475</xdr:colOff>
      <xdr:row>5</xdr:row>
      <xdr:rowOff>28575</xdr:rowOff>
    </xdr:from>
    <xdr:to>
      <xdr:col>18</xdr:col>
      <xdr:colOff>85725</xdr:colOff>
      <xdr:row>6</xdr:row>
      <xdr:rowOff>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F90DF745-B5FE-4191-BB6C-B93CBAD67716}"/>
            </a:ext>
          </a:extLst>
        </xdr:cNvPr>
        <xdr:cNvCxnSpPr/>
      </xdr:nvCxnSpPr>
      <xdr:spPr>
        <a:xfrm flipH="1">
          <a:off x="6229350" y="1362075"/>
          <a:ext cx="1390650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800100</xdr:colOff>
      <xdr:row>5</xdr:row>
      <xdr:rowOff>9525</xdr:rowOff>
    </xdr:from>
    <xdr:to>
      <xdr:col>19</xdr:col>
      <xdr:colOff>285750</xdr:colOff>
      <xdr:row>5</xdr:row>
      <xdr:rowOff>257175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605EA5A4-D9A6-4ECB-A02C-35DC606E36A0}"/>
            </a:ext>
          </a:extLst>
        </xdr:cNvPr>
        <xdr:cNvCxnSpPr/>
      </xdr:nvCxnSpPr>
      <xdr:spPr>
        <a:xfrm>
          <a:off x="8334375" y="1343025"/>
          <a:ext cx="323850" cy="247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219075</xdr:colOff>
      <xdr:row>7</xdr:row>
      <xdr:rowOff>9525</xdr:rowOff>
    </xdr:from>
    <xdr:to>
      <xdr:col>19</xdr:col>
      <xdr:colOff>285750</xdr:colOff>
      <xdr:row>8</xdr:row>
      <xdr:rowOff>57150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5B5B7439-25A2-45CD-A182-05D119C7DAC9}"/>
            </a:ext>
          </a:extLst>
        </xdr:cNvPr>
        <xdr:cNvCxnSpPr/>
      </xdr:nvCxnSpPr>
      <xdr:spPr>
        <a:xfrm>
          <a:off x="8591550" y="1876425"/>
          <a:ext cx="66675" cy="3143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171450</xdr:colOff>
      <xdr:row>7</xdr:row>
      <xdr:rowOff>28575</xdr:rowOff>
    </xdr:from>
    <xdr:to>
      <xdr:col>17</xdr:col>
      <xdr:colOff>228600</xdr:colOff>
      <xdr:row>8</xdr:row>
      <xdr:rowOff>66675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A72F093-B83B-4999-B643-D1296029C971}"/>
            </a:ext>
          </a:extLst>
        </xdr:cNvPr>
        <xdr:cNvCxnSpPr/>
      </xdr:nvCxnSpPr>
      <xdr:spPr>
        <a:xfrm flipH="1">
          <a:off x="6029325" y="1895475"/>
          <a:ext cx="5715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F94B2-E5BC-4706-BC56-7354B9AF8DC1}">
  <sheetPr filterMode="1">
    <pageSetUpPr fitToPage="1"/>
  </sheetPr>
  <dimension ref="A1:G30"/>
  <sheetViews>
    <sheetView zoomScaleNormal="100" workbookViewId="0">
      <selection sqref="A1:F14"/>
    </sheetView>
  </sheetViews>
  <sheetFormatPr defaultRowHeight="15" x14ac:dyDescent="0.25"/>
  <cols>
    <col min="2" max="2" width="11.85546875" bestFit="1" customWidth="1"/>
    <col min="3" max="3" width="17.7109375" bestFit="1" customWidth="1"/>
    <col min="4" max="4" width="12.5703125" bestFit="1" customWidth="1"/>
  </cols>
  <sheetData>
    <row r="1" spans="1:6" ht="21" x14ac:dyDescent="0.3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</row>
    <row r="2" spans="1:6" ht="21" hidden="1" x14ac:dyDescent="0.35">
      <c r="A2" s="13">
        <v>1</v>
      </c>
      <c r="B2" s="3" t="s">
        <v>6</v>
      </c>
      <c r="C2" s="14" t="s">
        <v>7</v>
      </c>
      <c r="D2" s="4" t="s">
        <v>8</v>
      </c>
      <c r="E2" s="5" t="s">
        <v>9</v>
      </c>
      <c r="F2" s="15" t="s">
        <v>10</v>
      </c>
    </row>
    <row r="3" spans="1:6" ht="21" hidden="1" x14ac:dyDescent="0.35">
      <c r="A3" s="13">
        <v>2</v>
      </c>
      <c r="B3" s="3" t="s">
        <v>6</v>
      </c>
      <c r="C3" s="14" t="s">
        <v>7</v>
      </c>
      <c r="D3" s="4" t="s">
        <v>8</v>
      </c>
      <c r="E3" s="5" t="s">
        <v>11</v>
      </c>
      <c r="F3" s="15" t="s">
        <v>10</v>
      </c>
    </row>
    <row r="4" spans="1:6" ht="21" x14ac:dyDescent="0.35">
      <c r="A4" s="13">
        <v>3</v>
      </c>
      <c r="B4" s="3" t="s">
        <v>12</v>
      </c>
      <c r="C4" s="14" t="s">
        <v>7</v>
      </c>
      <c r="D4" s="4" t="s">
        <v>8</v>
      </c>
      <c r="E4" s="5" t="s">
        <v>9</v>
      </c>
      <c r="F4" s="16" t="s">
        <v>13</v>
      </c>
    </row>
    <row r="5" spans="1:6" ht="21" hidden="1" x14ac:dyDescent="0.35">
      <c r="A5" s="13">
        <v>4</v>
      </c>
      <c r="B5" s="3" t="s">
        <v>14</v>
      </c>
      <c r="C5" s="14" t="s">
        <v>15</v>
      </c>
      <c r="D5" s="4" t="s">
        <v>8</v>
      </c>
      <c r="E5" s="5" t="s">
        <v>9</v>
      </c>
      <c r="F5" s="16" t="s">
        <v>13</v>
      </c>
    </row>
    <row r="6" spans="1:6" ht="21" hidden="1" x14ac:dyDescent="0.35">
      <c r="A6" s="13">
        <v>5</v>
      </c>
      <c r="B6" s="3" t="s">
        <v>14</v>
      </c>
      <c r="C6" s="14" t="s">
        <v>16</v>
      </c>
      <c r="D6" s="4" t="s">
        <v>17</v>
      </c>
      <c r="E6" s="5" t="s">
        <v>9</v>
      </c>
      <c r="F6" s="16" t="s">
        <v>13</v>
      </c>
    </row>
    <row r="7" spans="1:6" ht="21" hidden="1" x14ac:dyDescent="0.35">
      <c r="A7" s="13">
        <v>6</v>
      </c>
      <c r="B7" s="3" t="s">
        <v>14</v>
      </c>
      <c r="C7" s="14" t="s">
        <v>16</v>
      </c>
      <c r="D7" s="4" t="s">
        <v>17</v>
      </c>
      <c r="E7" s="5" t="s">
        <v>11</v>
      </c>
      <c r="F7" s="15" t="s">
        <v>10</v>
      </c>
    </row>
    <row r="8" spans="1:6" ht="21" x14ac:dyDescent="0.35">
      <c r="A8" s="13">
        <v>7</v>
      </c>
      <c r="B8" s="3" t="s">
        <v>12</v>
      </c>
      <c r="C8" s="14" t="s">
        <v>16</v>
      </c>
      <c r="D8" s="4" t="s">
        <v>17</v>
      </c>
      <c r="E8" s="5" t="s">
        <v>11</v>
      </c>
      <c r="F8" s="16" t="s">
        <v>13</v>
      </c>
    </row>
    <row r="9" spans="1:6" ht="21" hidden="1" x14ac:dyDescent="0.35">
      <c r="A9" s="13">
        <v>8</v>
      </c>
      <c r="B9" s="3" t="s">
        <v>6</v>
      </c>
      <c r="C9" s="14" t="s">
        <v>15</v>
      </c>
      <c r="D9" s="4" t="s">
        <v>8</v>
      </c>
      <c r="E9" s="5" t="s">
        <v>9</v>
      </c>
      <c r="F9" s="15" t="s">
        <v>10</v>
      </c>
    </row>
    <row r="10" spans="1:6" ht="21" hidden="1" x14ac:dyDescent="0.35">
      <c r="A10" s="13">
        <v>9</v>
      </c>
      <c r="B10" s="3" t="s">
        <v>6</v>
      </c>
      <c r="C10" s="14" t="s">
        <v>16</v>
      </c>
      <c r="D10" s="4" t="s">
        <v>17</v>
      </c>
      <c r="E10" s="5" t="s">
        <v>9</v>
      </c>
      <c r="F10" s="16" t="s">
        <v>13</v>
      </c>
    </row>
    <row r="11" spans="1:6" ht="21" hidden="1" x14ac:dyDescent="0.35">
      <c r="A11" s="13">
        <v>10</v>
      </c>
      <c r="B11" s="3" t="s">
        <v>14</v>
      </c>
      <c r="C11" s="14" t="s">
        <v>15</v>
      </c>
      <c r="D11" s="4" t="s">
        <v>17</v>
      </c>
      <c r="E11" s="5" t="s">
        <v>9</v>
      </c>
      <c r="F11" s="16" t="s">
        <v>13</v>
      </c>
    </row>
    <row r="12" spans="1:6" ht="21" hidden="1" x14ac:dyDescent="0.35">
      <c r="A12" s="13">
        <v>11</v>
      </c>
      <c r="B12" s="3" t="s">
        <v>6</v>
      </c>
      <c r="C12" s="14" t="s">
        <v>15</v>
      </c>
      <c r="D12" s="4" t="s">
        <v>17</v>
      </c>
      <c r="E12" s="5" t="s">
        <v>11</v>
      </c>
      <c r="F12" s="16" t="s">
        <v>13</v>
      </c>
    </row>
    <row r="13" spans="1:6" ht="21" x14ac:dyDescent="0.35">
      <c r="A13" s="13">
        <v>12</v>
      </c>
      <c r="B13" s="3" t="s">
        <v>12</v>
      </c>
      <c r="C13" s="14" t="s">
        <v>15</v>
      </c>
      <c r="D13" s="4" t="s">
        <v>8</v>
      </c>
      <c r="E13" s="5" t="s">
        <v>11</v>
      </c>
      <c r="F13" s="16" t="s">
        <v>13</v>
      </c>
    </row>
    <row r="14" spans="1:6" ht="21" x14ac:dyDescent="0.35">
      <c r="A14" s="13">
        <v>13</v>
      </c>
      <c r="B14" s="3" t="s">
        <v>12</v>
      </c>
      <c r="C14" s="14" t="s">
        <v>7</v>
      </c>
      <c r="D14" s="4" t="s">
        <v>17</v>
      </c>
      <c r="E14" s="5" t="s">
        <v>9</v>
      </c>
      <c r="F14" s="16" t="s">
        <v>13</v>
      </c>
    </row>
    <row r="15" spans="1:6" ht="21" hidden="1" x14ac:dyDescent="0.35">
      <c r="A15" s="17">
        <v>14</v>
      </c>
      <c r="B15" s="18" t="s">
        <v>14</v>
      </c>
      <c r="C15" s="19" t="s">
        <v>15</v>
      </c>
      <c r="D15" s="20" t="s">
        <v>8</v>
      </c>
      <c r="E15" s="21" t="s">
        <v>11</v>
      </c>
      <c r="F15" s="22" t="s">
        <v>10</v>
      </c>
    </row>
    <row r="30" spans="7:7" ht="21" x14ac:dyDescent="0.35">
      <c r="G30" s="7"/>
    </row>
  </sheetData>
  <autoFilter ref="A1:G15" xr:uid="{7D0C1C05-ABF0-41F8-81EA-2D939069AE14}">
    <filterColumn colId="1">
      <filters>
        <filter val="Overcast"/>
      </filters>
    </filterColumn>
  </autoFilter>
  <pageMargins left="0.23622047244094491" right="0.23622047244094491" top="0.74803149606299213" bottom="0.74803149606299213" header="0.31496062992125984" footer="0.31496062992125984"/>
  <pageSetup paperSize="9" scale="46" orientation="landscape" r:id="rId1"/>
  <headerFooter>
    <oddHeader>&amp;C&amp;24AI for Games: ID3 - Algorithm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2411D-850A-4720-A783-7E4AD66C2997}">
  <sheetPr>
    <pageSetUpPr fitToPage="1"/>
  </sheetPr>
  <dimension ref="A1:AL76"/>
  <sheetViews>
    <sheetView tabSelected="1" zoomScale="70" zoomScaleNormal="70" workbookViewId="0">
      <selection activeCell="A76" sqref="A76:C83"/>
    </sheetView>
  </sheetViews>
  <sheetFormatPr defaultRowHeight="21" x14ac:dyDescent="0.35"/>
  <cols>
    <col min="2" max="2" width="11.85546875" bestFit="1" customWidth="1"/>
    <col min="3" max="3" width="17.7109375" bestFit="1" customWidth="1"/>
    <col min="4" max="4" width="12.5703125" bestFit="1" customWidth="1"/>
    <col min="8" max="8" width="9.140625" style="7"/>
    <col min="9" max="9" width="27.42578125" style="7" customWidth="1"/>
    <col min="10" max="10" width="12.5703125" style="2" bestFit="1" customWidth="1"/>
    <col min="11" max="11" width="11.7109375" style="2" customWidth="1"/>
    <col min="12" max="12" width="11.85546875" style="2" customWidth="1"/>
    <col min="13" max="13" width="11.85546875" style="2" bestFit="1" customWidth="1"/>
    <col min="14" max="15" width="9.140625" style="2"/>
    <col min="16" max="16" width="10.140625" style="2" customWidth="1"/>
    <col min="17" max="17" width="10.5703125" style="7" customWidth="1"/>
    <col min="20" max="20" width="11.85546875" customWidth="1"/>
    <col min="21" max="21" width="10.85546875" bestFit="1" customWidth="1"/>
    <col min="22" max="22" width="21" bestFit="1" customWidth="1"/>
    <col min="26" max="26" width="18.5703125" customWidth="1"/>
    <col min="27" max="27" width="11.42578125" bestFit="1" customWidth="1"/>
    <col min="28" max="29" width="10.85546875" bestFit="1" customWidth="1"/>
    <col min="37" max="37" width="7" customWidth="1"/>
    <col min="38" max="38" width="10.85546875" bestFit="1" customWidth="1"/>
    <col min="39" max="39" width="10.7109375" customWidth="1"/>
  </cols>
  <sheetData>
    <row r="1" spans="1:23" x14ac:dyDescent="0.3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J1" s="48"/>
      <c r="K1" s="48"/>
      <c r="L1" s="48"/>
      <c r="M1" s="48"/>
      <c r="N1" s="48"/>
      <c r="O1" s="48"/>
      <c r="P1" s="48"/>
      <c r="Q1" s="49"/>
    </row>
    <row r="2" spans="1:23" x14ac:dyDescent="0.35">
      <c r="A2" s="13">
        <v>1</v>
      </c>
      <c r="B2" s="3" t="s">
        <v>6</v>
      </c>
      <c r="C2" s="14" t="s">
        <v>7</v>
      </c>
      <c r="D2" s="4" t="s">
        <v>8</v>
      </c>
      <c r="E2" s="5" t="s">
        <v>9</v>
      </c>
      <c r="F2" s="15" t="s">
        <v>10</v>
      </c>
      <c r="J2" s="48"/>
      <c r="K2" s="48"/>
      <c r="L2" s="48"/>
      <c r="M2" s="48"/>
      <c r="N2" s="48"/>
      <c r="O2" s="48"/>
      <c r="P2" s="48"/>
      <c r="Q2" s="49"/>
    </row>
    <row r="3" spans="1:23" x14ac:dyDescent="0.35">
      <c r="A3" s="13">
        <v>2</v>
      </c>
      <c r="B3" s="3" t="s">
        <v>6</v>
      </c>
      <c r="C3" s="14" t="s">
        <v>7</v>
      </c>
      <c r="D3" s="4" t="s">
        <v>8</v>
      </c>
      <c r="E3" s="5" t="s">
        <v>11</v>
      </c>
      <c r="F3" s="15" t="s">
        <v>10</v>
      </c>
      <c r="J3" s="48"/>
      <c r="K3" s="48"/>
      <c r="L3" s="48"/>
      <c r="M3" s="48"/>
      <c r="N3" s="48"/>
      <c r="O3" s="48"/>
      <c r="P3" s="48"/>
      <c r="Q3" s="49"/>
    </row>
    <row r="4" spans="1:23" x14ac:dyDescent="0.35">
      <c r="A4" s="13">
        <v>3</v>
      </c>
      <c r="B4" s="3" t="s">
        <v>12</v>
      </c>
      <c r="C4" s="14" t="s">
        <v>7</v>
      </c>
      <c r="D4" s="4" t="s">
        <v>8</v>
      </c>
      <c r="E4" s="5" t="s">
        <v>9</v>
      </c>
      <c r="F4" s="16" t="s">
        <v>13</v>
      </c>
      <c r="J4" s="48"/>
      <c r="K4" s="48"/>
      <c r="L4" s="48"/>
      <c r="M4" s="48"/>
      <c r="N4" s="48"/>
      <c r="O4" s="48"/>
      <c r="P4" s="48"/>
      <c r="Q4" s="49"/>
    </row>
    <row r="5" spans="1:23" x14ac:dyDescent="0.35">
      <c r="A5" s="13">
        <v>4</v>
      </c>
      <c r="B5" s="3" t="s">
        <v>14</v>
      </c>
      <c r="C5" s="14" t="s">
        <v>15</v>
      </c>
      <c r="D5" s="4" t="s">
        <v>8</v>
      </c>
      <c r="E5" s="5" t="s">
        <v>9</v>
      </c>
      <c r="F5" s="16" t="s">
        <v>13</v>
      </c>
      <c r="J5" s="50"/>
      <c r="K5" s="48"/>
      <c r="L5" s="48"/>
      <c r="M5" s="48"/>
      <c r="N5" s="48"/>
      <c r="O5" s="48"/>
      <c r="P5" s="48"/>
      <c r="Q5" s="49"/>
    </row>
    <row r="6" spans="1:23" x14ac:dyDescent="0.35">
      <c r="A6" s="13">
        <v>5</v>
      </c>
      <c r="B6" s="3" t="s">
        <v>14</v>
      </c>
      <c r="C6" s="14" t="s">
        <v>16</v>
      </c>
      <c r="D6" s="4" t="s">
        <v>17</v>
      </c>
      <c r="E6" s="5" t="s">
        <v>9</v>
      </c>
      <c r="F6" s="16" t="s">
        <v>13</v>
      </c>
      <c r="J6" s="48"/>
      <c r="K6" s="48"/>
      <c r="L6" s="48"/>
      <c r="M6" s="48"/>
      <c r="N6" s="48"/>
      <c r="O6" s="48"/>
      <c r="P6" s="48"/>
      <c r="Q6" s="49"/>
      <c r="S6" s="7"/>
      <c r="T6" s="7"/>
      <c r="U6" s="7"/>
      <c r="V6" s="7"/>
      <c r="W6" s="7"/>
    </row>
    <row r="7" spans="1:23" x14ac:dyDescent="0.35">
      <c r="A7" s="13">
        <v>6</v>
      </c>
      <c r="B7" s="3" t="s">
        <v>14</v>
      </c>
      <c r="C7" s="14" t="s">
        <v>16</v>
      </c>
      <c r="D7" s="4" t="s">
        <v>17</v>
      </c>
      <c r="E7" s="5" t="s">
        <v>11</v>
      </c>
      <c r="F7" s="15" t="s">
        <v>10</v>
      </c>
      <c r="J7" s="48"/>
      <c r="K7" s="48"/>
      <c r="L7" s="48"/>
      <c r="M7" s="48"/>
      <c r="N7" s="48"/>
      <c r="O7" s="48"/>
      <c r="P7" s="48"/>
      <c r="Q7" s="48"/>
      <c r="S7" s="7"/>
      <c r="T7" s="7"/>
      <c r="U7" s="7"/>
      <c r="V7" s="7"/>
      <c r="W7" s="7"/>
    </row>
    <row r="8" spans="1:23" x14ac:dyDescent="0.35">
      <c r="A8" s="13">
        <v>7</v>
      </c>
      <c r="B8" s="3" t="s">
        <v>12</v>
      </c>
      <c r="C8" s="14" t="s">
        <v>16</v>
      </c>
      <c r="D8" s="4" t="s">
        <v>17</v>
      </c>
      <c r="E8" s="5" t="s">
        <v>11</v>
      </c>
      <c r="F8" s="16" t="s">
        <v>13</v>
      </c>
      <c r="J8" s="48"/>
      <c r="K8" s="48"/>
      <c r="L8" s="48"/>
      <c r="M8" s="48"/>
      <c r="N8" s="48"/>
      <c r="O8" s="48"/>
      <c r="P8" s="48"/>
      <c r="Q8" s="49"/>
      <c r="S8" s="7"/>
      <c r="T8" s="7"/>
      <c r="U8" s="7"/>
      <c r="V8" s="7"/>
      <c r="W8" s="7"/>
    </row>
    <row r="9" spans="1:23" x14ac:dyDescent="0.35">
      <c r="A9" s="13">
        <v>8</v>
      </c>
      <c r="B9" s="3" t="s">
        <v>6</v>
      </c>
      <c r="C9" s="14" t="s">
        <v>15</v>
      </c>
      <c r="D9" s="4" t="s">
        <v>8</v>
      </c>
      <c r="E9" s="5" t="s">
        <v>9</v>
      </c>
      <c r="F9" s="15" t="s">
        <v>10</v>
      </c>
      <c r="I9" s="9"/>
      <c r="J9" s="48"/>
      <c r="K9" s="51"/>
      <c r="L9" s="48"/>
      <c r="M9" s="50"/>
      <c r="N9" s="48"/>
      <c r="O9" s="52"/>
      <c r="P9" s="48"/>
      <c r="Q9" s="50"/>
    </row>
    <row r="10" spans="1:23" x14ac:dyDescent="0.35">
      <c r="A10" s="13">
        <v>9</v>
      </c>
      <c r="B10" s="3" t="s">
        <v>6</v>
      </c>
      <c r="C10" s="14" t="s">
        <v>16</v>
      </c>
      <c r="D10" s="4" t="s">
        <v>17</v>
      </c>
      <c r="E10" s="5" t="s">
        <v>9</v>
      </c>
      <c r="F10" s="16" t="s">
        <v>13</v>
      </c>
    </row>
    <row r="11" spans="1:23" x14ac:dyDescent="0.35">
      <c r="A11" s="13">
        <v>10</v>
      </c>
      <c r="B11" s="3" t="s">
        <v>14</v>
      </c>
      <c r="C11" s="14" t="s">
        <v>15</v>
      </c>
      <c r="D11" s="4" t="s">
        <v>17</v>
      </c>
      <c r="E11" s="5" t="s">
        <v>9</v>
      </c>
      <c r="F11" s="16" t="s">
        <v>13</v>
      </c>
      <c r="T11" s="27"/>
      <c r="V11" s="27"/>
    </row>
    <row r="12" spans="1:23" x14ac:dyDescent="0.35">
      <c r="A12" s="13">
        <v>11</v>
      </c>
      <c r="B12" s="3" t="s">
        <v>6</v>
      </c>
      <c r="C12" s="14" t="s">
        <v>15</v>
      </c>
      <c r="D12" s="4" t="s">
        <v>17</v>
      </c>
      <c r="E12" s="5" t="s">
        <v>11</v>
      </c>
      <c r="F12" s="16" t="s">
        <v>13</v>
      </c>
      <c r="H12" s="2">
        <v>1</v>
      </c>
      <c r="I12" s="7" t="s">
        <v>18</v>
      </c>
      <c r="R12" s="54" t="s">
        <v>190</v>
      </c>
      <c r="S12" s="55" t="s">
        <v>25</v>
      </c>
      <c r="T12" s="55"/>
      <c r="U12" s="55" t="s">
        <v>26</v>
      </c>
      <c r="V12" s="56"/>
    </row>
    <row r="13" spans="1:23" x14ac:dyDescent="0.35">
      <c r="A13" s="13">
        <v>12</v>
      </c>
      <c r="B13" s="3" t="s">
        <v>12</v>
      </c>
      <c r="C13" s="14" t="s">
        <v>15</v>
      </c>
      <c r="D13" s="4" t="s">
        <v>8</v>
      </c>
      <c r="E13" s="5" t="s">
        <v>11</v>
      </c>
      <c r="F13" s="16" t="s">
        <v>13</v>
      </c>
      <c r="I13" s="7" t="s">
        <v>25</v>
      </c>
      <c r="J13" s="23"/>
      <c r="L13" s="2" t="s">
        <v>26</v>
      </c>
      <c r="M13" s="23"/>
      <c r="R13" s="57">
        <v>8</v>
      </c>
      <c r="S13" s="58">
        <v>6</v>
      </c>
      <c r="T13" s="59">
        <f>S13/R13</f>
        <v>0.75</v>
      </c>
      <c r="U13" s="58">
        <v>2</v>
      </c>
      <c r="V13" s="60">
        <f>U13/R13</f>
        <v>0.25</v>
      </c>
    </row>
    <row r="14" spans="1:23" ht="24" x14ac:dyDescent="0.45">
      <c r="A14" s="13">
        <v>13</v>
      </c>
      <c r="B14" s="3" t="s">
        <v>12</v>
      </c>
      <c r="C14" s="14" t="s">
        <v>7</v>
      </c>
      <c r="D14" s="4" t="s">
        <v>17</v>
      </c>
      <c r="E14" s="5" t="s">
        <v>9</v>
      </c>
      <c r="F14" s="16" t="s">
        <v>13</v>
      </c>
      <c r="R14" s="61"/>
      <c r="S14" s="59" t="s">
        <v>183</v>
      </c>
      <c r="T14" s="62">
        <f>LOG(T13,2)</f>
        <v>-0.41503749927884381</v>
      </c>
      <c r="U14" s="59" t="s">
        <v>183</v>
      </c>
      <c r="V14" s="63">
        <f>LOG(V13,2)</f>
        <v>-2</v>
      </c>
    </row>
    <row r="15" spans="1:23" ht="24" x14ac:dyDescent="0.45">
      <c r="A15" s="17">
        <v>14</v>
      </c>
      <c r="B15" s="18" t="s">
        <v>14</v>
      </c>
      <c r="C15" s="19" t="s">
        <v>15</v>
      </c>
      <c r="D15" s="20" t="s">
        <v>8</v>
      </c>
      <c r="E15" s="21" t="s">
        <v>11</v>
      </c>
      <c r="F15" s="22" t="s">
        <v>10</v>
      </c>
      <c r="I15" s="7" t="s">
        <v>32</v>
      </c>
      <c r="J15" s="23" t="s">
        <v>33</v>
      </c>
      <c r="K15" s="25" t="s">
        <v>34</v>
      </c>
      <c r="L15" s="24"/>
      <c r="M15" s="24"/>
      <c r="N15" s="24"/>
      <c r="O15" s="24"/>
      <c r="P15" s="24"/>
      <c r="Q15" s="24"/>
      <c r="R15" s="61"/>
      <c r="S15" s="59" t="s">
        <v>184</v>
      </c>
      <c r="T15" s="64">
        <f>T13*T14</f>
        <v>-0.31127812445913283</v>
      </c>
      <c r="U15" s="59" t="s">
        <v>184</v>
      </c>
      <c r="V15" s="65">
        <f>V13*V14</f>
        <v>-0.5</v>
      </c>
    </row>
    <row r="16" spans="1:23" x14ac:dyDescent="0.35">
      <c r="J16" s="23" t="s">
        <v>33</v>
      </c>
      <c r="K16" s="25"/>
      <c r="L16" s="24"/>
      <c r="M16" s="24"/>
      <c r="N16" s="24"/>
      <c r="O16" s="24"/>
      <c r="P16" s="24"/>
      <c r="Q16" s="24"/>
      <c r="R16" s="66"/>
      <c r="S16" s="67"/>
      <c r="T16" s="67" t="s">
        <v>35</v>
      </c>
      <c r="U16" s="70">
        <f>-T15-V15</f>
        <v>0.81127812445913283</v>
      </c>
      <c r="V16" s="69"/>
    </row>
    <row r="17" spans="1:38" x14ac:dyDescent="0.35">
      <c r="J17" s="23"/>
      <c r="K17" s="30"/>
      <c r="L17" s="24"/>
      <c r="M17" s="24"/>
      <c r="N17" s="24"/>
      <c r="O17" s="24"/>
      <c r="P17" s="24"/>
      <c r="Q17" s="24"/>
      <c r="R17" s="26"/>
    </row>
    <row r="19" spans="1:38" x14ac:dyDescent="0.35">
      <c r="H19" s="2">
        <v>2</v>
      </c>
      <c r="I19" s="7" t="s">
        <v>188</v>
      </c>
      <c r="V19" s="25"/>
    </row>
    <row r="20" spans="1:38" x14ac:dyDescent="0.35">
      <c r="H20" s="2"/>
      <c r="I20" s="53" t="s">
        <v>1</v>
      </c>
      <c r="M20" s="38" t="s">
        <v>187</v>
      </c>
    </row>
    <row r="21" spans="1:38" x14ac:dyDescent="0.35">
      <c r="A21" s="10" t="s">
        <v>0</v>
      </c>
      <c r="B21" s="11" t="s">
        <v>1</v>
      </c>
      <c r="C21" s="11" t="s">
        <v>2</v>
      </c>
      <c r="D21" s="11" t="s">
        <v>3</v>
      </c>
      <c r="E21" s="11" t="s">
        <v>4</v>
      </c>
      <c r="F21" s="12" t="s">
        <v>5</v>
      </c>
      <c r="I21" s="7" t="s">
        <v>37</v>
      </c>
      <c r="K21" s="7" t="s">
        <v>185</v>
      </c>
      <c r="L21" s="24" t="s">
        <v>186</v>
      </c>
      <c r="M21" s="24"/>
      <c r="O21"/>
      <c r="T21" s="7"/>
      <c r="U21" s="24"/>
      <c r="V21" s="24"/>
    </row>
    <row r="22" spans="1:38" x14ac:dyDescent="0.35">
      <c r="A22" s="13">
        <v>1</v>
      </c>
      <c r="B22" s="3" t="s">
        <v>6</v>
      </c>
      <c r="C22" s="14" t="s">
        <v>7</v>
      </c>
      <c r="D22" s="4" t="s">
        <v>8</v>
      </c>
      <c r="E22" s="5" t="s">
        <v>9</v>
      </c>
      <c r="F22" s="15" t="s">
        <v>10</v>
      </c>
      <c r="I22" s="7" t="s">
        <v>52</v>
      </c>
      <c r="K22" s="7" t="s">
        <v>185</v>
      </c>
      <c r="L22" s="24" t="s">
        <v>186</v>
      </c>
      <c r="M22" s="24"/>
      <c r="O22"/>
      <c r="T22" s="7"/>
      <c r="U22" s="24"/>
      <c r="V22" s="24"/>
    </row>
    <row r="23" spans="1:38" x14ac:dyDescent="0.35">
      <c r="A23" s="13">
        <v>2</v>
      </c>
      <c r="B23" s="3" t="s">
        <v>6</v>
      </c>
      <c r="C23" s="14" t="s">
        <v>7</v>
      </c>
      <c r="D23" s="4" t="s">
        <v>8</v>
      </c>
      <c r="E23" s="5" t="s">
        <v>11</v>
      </c>
      <c r="F23" s="15" t="s">
        <v>10</v>
      </c>
      <c r="I23" s="7" t="s">
        <v>67</v>
      </c>
      <c r="K23" s="7" t="s">
        <v>185</v>
      </c>
      <c r="L23" s="24" t="s">
        <v>186</v>
      </c>
      <c r="M23" s="24"/>
    </row>
    <row r="24" spans="1:38" x14ac:dyDescent="0.35">
      <c r="A24" s="13">
        <v>3</v>
      </c>
      <c r="B24" s="3" t="s">
        <v>6</v>
      </c>
      <c r="C24" s="14" t="s">
        <v>15</v>
      </c>
      <c r="D24" s="4" t="s">
        <v>8</v>
      </c>
      <c r="E24" s="5" t="s">
        <v>9</v>
      </c>
      <c r="F24" s="15" t="s">
        <v>10</v>
      </c>
      <c r="I24" s="7" t="s">
        <v>74</v>
      </c>
      <c r="J24" s="23" t="s">
        <v>33</v>
      </c>
      <c r="K24" s="25"/>
      <c r="S24" s="28"/>
      <c r="T24" s="25"/>
    </row>
    <row r="25" spans="1:38" x14ac:dyDescent="0.35">
      <c r="A25" s="13">
        <v>4</v>
      </c>
      <c r="B25" s="3" t="s">
        <v>6</v>
      </c>
      <c r="C25" s="14" t="s">
        <v>16</v>
      </c>
      <c r="D25" s="4" t="s">
        <v>17</v>
      </c>
      <c r="E25" s="5" t="s">
        <v>9</v>
      </c>
      <c r="F25" s="16" t="s">
        <v>13</v>
      </c>
      <c r="J25" s="23" t="s">
        <v>33</v>
      </c>
      <c r="K25" s="47"/>
      <c r="S25" s="28"/>
      <c r="T25" s="25"/>
      <c r="AA25" s="1"/>
      <c r="AB25" s="25"/>
      <c r="AL25" s="25"/>
    </row>
    <row r="26" spans="1:38" x14ac:dyDescent="0.35">
      <c r="A26" s="13">
        <v>5</v>
      </c>
      <c r="B26" s="3" t="s">
        <v>6</v>
      </c>
      <c r="C26" s="14" t="s">
        <v>15</v>
      </c>
      <c r="D26" s="4" t="s">
        <v>17</v>
      </c>
      <c r="E26" s="5" t="s">
        <v>11</v>
      </c>
      <c r="F26" s="16" t="s">
        <v>13</v>
      </c>
      <c r="I26" s="7" t="s">
        <v>83</v>
      </c>
      <c r="J26" s="23" t="s">
        <v>33</v>
      </c>
      <c r="K26" s="25" t="s">
        <v>189</v>
      </c>
      <c r="S26" s="28"/>
      <c r="T26" s="25"/>
      <c r="Y26" s="7"/>
      <c r="AA26" s="1"/>
      <c r="AB26" s="7"/>
      <c r="AH26" s="7"/>
      <c r="AK26" s="1"/>
      <c r="AL26" s="7"/>
    </row>
    <row r="27" spans="1:38" x14ac:dyDescent="0.35">
      <c r="J27" s="23" t="s">
        <v>33</v>
      </c>
      <c r="K27" s="43"/>
      <c r="S27" s="28"/>
      <c r="T27" s="39"/>
      <c r="AA27" s="1"/>
      <c r="AB27" s="40"/>
      <c r="AK27" s="1"/>
      <c r="AL27" s="40"/>
    </row>
    <row r="28" spans="1:38" x14ac:dyDescent="0.35">
      <c r="AL28" s="7"/>
    </row>
    <row r="29" spans="1:38" x14ac:dyDescent="0.35">
      <c r="H29" s="2">
        <v>3</v>
      </c>
      <c r="I29" s="33" t="s">
        <v>83</v>
      </c>
      <c r="J29" s="34">
        <v>0.246</v>
      </c>
    </row>
    <row r="30" spans="1:38" x14ac:dyDescent="0.35">
      <c r="G30" s="7"/>
      <c r="H30" s="2"/>
      <c r="I30" s="7" t="s">
        <v>89</v>
      </c>
      <c r="J30" s="2">
        <v>0.151</v>
      </c>
    </row>
    <row r="31" spans="1:38" x14ac:dyDescent="0.35">
      <c r="I31" s="7" t="s">
        <v>85</v>
      </c>
      <c r="J31" s="2">
        <v>4.8000000000000001E-2</v>
      </c>
      <c r="K31" s="7"/>
    </row>
    <row r="32" spans="1:38" x14ac:dyDescent="0.35">
      <c r="I32" s="7" t="s">
        <v>92</v>
      </c>
      <c r="J32" s="2">
        <v>2.9000000000000001E-2</v>
      </c>
    </row>
    <row r="34" spans="1:17" x14ac:dyDescent="0.35">
      <c r="A34" s="10" t="s">
        <v>0</v>
      </c>
      <c r="B34" s="11" t="s">
        <v>1</v>
      </c>
      <c r="C34" s="11" t="s">
        <v>2</v>
      </c>
      <c r="D34" s="11" t="s">
        <v>3</v>
      </c>
      <c r="E34" s="11" t="s">
        <v>4</v>
      </c>
      <c r="F34" s="12" t="s">
        <v>5</v>
      </c>
      <c r="I34" s="7" t="s">
        <v>93</v>
      </c>
      <c r="Q34" s="31"/>
    </row>
    <row r="35" spans="1:17" ht="24" x14ac:dyDescent="0.45">
      <c r="A35" s="13">
        <v>1</v>
      </c>
      <c r="B35" s="3" t="s">
        <v>6</v>
      </c>
      <c r="C35" s="14" t="s">
        <v>7</v>
      </c>
      <c r="D35" s="4" t="s">
        <v>8</v>
      </c>
      <c r="E35" s="5" t="s">
        <v>9</v>
      </c>
      <c r="F35" s="15" t="s">
        <v>10</v>
      </c>
      <c r="I35" s="42" t="s">
        <v>94</v>
      </c>
      <c r="J35" s="23" t="s">
        <v>33</v>
      </c>
      <c r="K35" s="25" t="s">
        <v>34</v>
      </c>
      <c r="M35" s="23"/>
      <c r="Q35" s="31"/>
    </row>
    <row r="36" spans="1:17" x14ac:dyDescent="0.35">
      <c r="A36" s="13">
        <v>2</v>
      </c>
      <c r="B36" s="3" t="s">
        <v>6</v>
      </c>
      <c r="C36" s="14" t="s">
        <v>7</v>
      </c>
      <c r="D36" s="4" t="s">
        <v>8</v>
      </c>
      <c r="E36" s="5" t="s">
        <v>11</v>
      </c>
      <c r="F36" s="15" t="s">
        <v>10</v>
      </c>
      <c r="J36" s="23" t="s">
        <v>33</v>
      </c>
      <c r="K36" s="25"/>
      <c r="M36" s="23"/>
    </row>
    <row r="37" spans="1:17" x14ac:dyDescent="0.35">
      <c r="A37" s="13">
        <v>3</v>
      </c>
      <c r="B37" s="3" t="s">
        <v>6</v>
      </c>
      <c r="C37" s="14" t="s">
        <v>15</v>
      </c>
      <c r="D37" s="4" t="s">
        <v>8</v>
      </c>
      <c r="E37" s="5" t="s">
        <v>9</v>
      </c>
      <c r="F37" s="15" t="s">
        <v>10</v>
      </c>
      <c r="J37" s="23" t="s">
        <v>33</v>
      </c>
      <c r="K37" s="25"/>
      <c r="M37" s="23"/>
      <c r="Q37"/>
    </row>
    <row r="38" spans="1:17" x14ac:dyDescent="0.35">
      <c r="A38" s="13">
        <v>4</v>
      </c>
      <c r="B38" s="3" t="s">
        <v>6</v>
      </c>
      <c r="C38" s="14" t="s">
        <v>16</v>
      </c>
      <c r="D38" s="4" t="s">
        <v>17</v>
      </c>
      <c r="E38" s="5" t="s">
        <v>9</v>
      </c>
      <c r="F38" s="16" t="s">
        <v>13</v>
      </c>
      <c r="I38" s="7" t="s">
        <v>3</v>
      </c>
      <c r="Q38"/>
    </row>
    <row r="39" spans="1:17" x14ac:dyDescent="0.35">
      <c r="A39" s="13">
        <v>5</v>
      </c>
      <c r="B39" s="3" t="s">
        <v>6</v>
      </c>
      <c r="C39" s="14" t="s">
        <v>15</v>
      </c>
      <c r="D39" s="4" t="s">
        <v>17</v>
      </c>
      <c r="E39" s="5" t="s">
        <v>11</v>
      </c>
      <c r="F39" s="16" t="s">
        <v>13</v>
      </c>
      <c r="I39" s="7" t="s">
        <v>49</v>
      </c>
      <c r="K39" s="7" t="s">
        <v>96</v>
      </c>
      <c r="L39" s="24" t="s">
        <v>97</v>
      </c>
      <c r="M39" s="45" t="s">
        <v>55</v>
      </c>
      <c r="N39" s="46"/>
      <c r="O39" s="7"/>
      <c r="P39" s="23"/>
      <c r="Q39"/>
    </row>
    <row r="40" spans="1:17" x14ac:dyDescent="0.35">
      <c r="I40" s="7" t="s">
        <v>64</v>
      </c>
      <c r="K40" s="7" t="s">
        <v>102</v>
      </c>
      <c r="L40" s="24" t="s">
        <v>103</v>
      </c>
      <c r="M40" s="45" t="s">
        <v>55</v>
      </c>
      <c r="N40" s="46"/>
      <c r="O40" s="7"/>
      <c r="P40" s="23"/>
      <c r="Q40"/>
    </row>
    <row r="41" spans="1:17" x14ac:dyDescent="0.35">
      <c r="I41" s="7" t="s">
        <v>109</v>
      </c>
      <c r="J41" s="23" t="s">
        <v>33</v>
      </c>
      <c r="K41" s="25" t="s">
        <v>110</v>
      </c>
      <c r="O41" s="7"/>
      <c r="P41" s="23"/>
      <c r="Q41"/>
    </row>
    <row r="42" spans="1:17" x14ac:dyDescent="0.35">
      <c r="G42" s="7"/>
      <c r="J42" s="23" t="s">
        <v>33</v>
      </c>
      <c r="K42" s="24">
        <v>0</v>
      </c>
      <c r="O42" s="7"/>
      <c r="P42" s="23"/>
      <c r="Q42"/>
    </row>
    <row r="43" spans="1:17" x14ac:dyDescent="0.35">
      <c r="G43" s="7"/>
      <c r="I43" s="7" t="s">
        <v>89</v>
      </c>
      <c r="J43" s="23" t="s">
        <v>33</v>
      </c>
      <c r="K43" s="23" t="s">
        <v>114</v>
      </c>
      <c r="O43" s="7"/>
      <c r="P43" s="23"/>
      <c r="Q43"/>
    </row>
    <row r="44" spans="1:17" x14ac:dyDescent="0.35">
      <c r="G44" s="7"/>
      <c r="I44" s="2"/>
      <c r="J44" s="23" t="s">
        <v>33</v>
      </c>
      <c r="K44" s="43">
        <v>0.97099999999999997</v>
      </c>
      <c r="P44" s="7"/>
      <c r="Q44"/>
    </row>
    <row r="45" spans="1:17" x14ac:dyDescent="0.35">
      <c r="G45" s="7"/>
      <c r="I45" s="2"/>
      <c r="J45" s="23"/>
      <c r="K45" s="38"/>
      <c r="P45" s="7"/>
      <c r="Q45"/>
    </row>
    <row r="46" spans="1:17" x14ac:dyDescent="0.35">
      <c r="G46" s="7"/>
      <c r="I46" s="2"/>
      <c r="J46" s="23"/>
      <c r="K46" s="38"/>
      <c r="P46" s="7"/>
      <c r="Q46"/>
    </row>
    <row r="47" spans="1:17" x14ac:dyDescent="0.35">
      <c r="G47" s="7"/>
      <c r="I47" s="2"/>
      <c r="J47" s="23"/>
      <c r="K47" s="38"/>
      <c r="P47" s="7"/>
      <c r="Q47"/>
    </row>
    <row r="48" spans="1:17" x14ac:dyDescent="0.35">
      <c r="G48" s="7"/>
      <c r="I48" s="2"/>
      <c r="J48" s="23"/>
      <c r="K48" s="38"/>
      <c r="P48" s="7"/>
      <c r="Q48"/>
    </row>
    <row r="49" spans="7:17" x14ac:dyDescent="0.35">
      <c r="G49" s="7"/>
      <c r="I49" s="2"/>
      <c r="J49" s="23"/>
      <c r="K49" s="38"/>
      <c r="P49" s="7"/>
      <c r="Q49"/>
    </row>
    <row r="50" spans="7:17" x14ac:dyDescent="0.35">
      <c r="G50" s="7"/>
      <c r="I50" s="2"/>
      <c r="J50" s="23"/>
      <c r="K50" s="38"/>
      <c r="P50" s="7"/>
      <c r="Q50"/>
    </row>
    <row r="51" spans="7:17" x14ac:dyDescent="0.35">
      <c r="G51" s="7"/>
      <c r="I51" s="2"/>
      <c r="J51" s="23"/>
      <c r="K51" s="38"/>
      <c r="P51" s="7"/>
      <c r="Q51"/>
    </row>
    <row r="52" spans="7:17" x14ac:dyDescent="0.35">
      <c r="G52" s="7"/>
      <c r="I52" s="2"/>
      <c r="J52" s="23"/>
      <c r="K52" s="38"/>
      <c r="P52" s="7"/>
      <c r="Q52"/>
    </row>
    <row r="53" spans="7:17" x14ac:dyDescent="0.35">
      <c r="G53" s="7"/>
      <c r="I53" s="2"/>
      <c r="J53" s="23"/>
      <c r="K53" s="38"/>
      <c r="P53" s="7"/>
      <c r="Q53"/>
    </row>
    <row r="54" spans="7:17" x14ac:dyDescent="0.35">
      <c r="G54" s="7"/>
      <c r="I54" s="2"/>
      <c r="J54" s="23"/>
      <c r="K54" s="38"/>
      <c r="P54" s="7"/>
      <c r="Q54"/>
    </row>
    <row r="55" spans="7:17" x14ac:dyDescent="0.35">
      <c r="G55" s="7"/>
      <c r="I55" s="2"/>
      <c r="J55" s="23"/>
      <c r="K55" s="38"/>
      <c r="P55" s="7"/>
      <c r="Q55"/>
    </row>
    <row r="56" spans="7:17" x14ac:dyDescent="0.35">
      <c r="G56" s="7"/>
      <c r="I56" s="2"/>
      <c r="J56" s="23"/>
      <c r="K56" s="38"/>
      <c r="P56" s="7"/>
      <c r="Q56"/>
    </row>
    <row r="57" spans="7:17" x14ac:dyDescent="0.35">
      <c r="G57" s="7"/>
      <c r="I57" s="2"/>
      <c r="J57" s="23"/>
      <c r="K57" s="38"/>
      <c r="P57" s="7"/>
      <c r="Q57"/>
    </row>
    <row r="58" spans="7:17" x14ac:dyDescent="0.35">
      <c r="G58" s="7"/>
      <c r="I58" s="2"/>
      <c r="J58" s="23"/>
      <c r="K58" s="38"/>
      <c r="P58" s="7"/>
      <c r="Q58"/>
    </row>
    <row r="59" spans="7:17" x14ac:dyDescent="0.35">
      <c r="G59" s="7"/>
      <c r="I59" s="2"/>
      <c r="J59" s="23"/>
      <c r="K59" s="38"/>
      <c r="P59" s="7"/>
      <c r="Q59"/>
    </row>
    <row r="60" spans="7:17" x14ac:dyDescent="0.35">
      <c r="G60" s="7"/>
      <c r="I60" s="2"/>
      <c r="J60" s="23"/>
      <c r="K60" s="38"/>
      <c r="P60" s="7"/>
      <c r="Q60"/>
    </row>
    <row r="61" spans="7:17" x14ac:dyDescent="0.35">
      <c r="G61" s="7"/>
      <c r="I61" s="2"/>
      <c r="J61" s="23"/>
      <c r="K61" s="38"/>
      <c r="P61" s="7"/>
      <c r="Q61"/>
    </row>
    <row r="62" spans="7:17" x14ac:dyDescent="0.35">
      <c r="G62" s="7"/>
      <c r="I62" s="2"/>
      <c r="J62" s="23"/>
      <c r="K62" s="38"/>
      <c r="P62" s="7"/>
      <c r="Q62"/>
    </row>
    <row r="63" spans="7:17" x14ac:dyDescent="0.35">
      <c r="G63" s="7"/>
      <c r="I63" s="2"/>
      <c r="J63" s="23"/>
      <c r="K63" s="38"/>
      <c r="P63" s="7"/>
      <c r="Q63"/>
    </row>
    <row r="64" spans="7:17" x14ac:dyDescent="0.35">
      <c r="G64" s="7"/>
      <c r="I64" s="2"/>
      <c r="J64" s="23"/>
      <c r="K64" s="38"/>
      <c r="P64" s="7"/>
      <c r="Q64"/>
    </row>
    <row r="65" spans="7:17" x14ac:dyDescent="0.35">
      <c r="G65" s="7"/>
      <c r="I65" s="2"/>
      <c r="J65" s="23"/>
      <c r="K65" s="38"/>
      <c r="P65" s="7"/>
      <c r="Q65"/>
    </row>
    <row r="66" spans="7:17" x14ac:dyDescent="0.35">
      <c r="G66" s="7"/>
      <c r="I66" s="2"/>
      <c r="J66" s="23"/>
      <c r="K66" s="38"/>
      <c r="P66" s="7"/>
      <c r="Q66"/>
    </row>
    <row r="67" spans="7:17" x14ac:dyDescent="0.35">
      <c r="G67" s="7"/>
      <c r="I67" s="2"/>
      <c r="J67" s="23"/>
      <c r="K67" s="38"/>
      <c r="P67" s="7"/>
      <c r="Q67"/>
    </row>
    <row r="68" spans="7:17" x14ac:dyDescent="0.35">
      <c r="G68" s="7"/>
      <c r="I68" s="2"/>
      <c r="J68" s="23"/>
      <c r="K68" s="38"/>
      <c r="P68" s="7"/>
      <c r="Q68"/>
    </row>
    <row r="69" spans="7:17" x14ac:dyDescent="0.35">
      <c r="G69" s="7"/>
      <c r="I69" s="2"/>
      <c r="J69" s="23"/>
      <c r="K69" s="38"/>
      <c r="P69" s="7"/>
      <c r="Q69"/>
    </row>
    <row r="70" spans="7:17" x14ac:dyDescent="0.35">
      <c r="G70" s="7"/>
      <c r="I70" s="2"/>
      <c r="J70" s="23"/>
      <c r="K70" s="38"/>
      <c r="P70" s="7"/>
      <c r="Q70"/>
    </row>
    <row r="71" spans="7:17" x14ac:dyDescent="0.35">
      <c r="G71" s="7"/>
      <c r="I71" s="2"/>
      <c r="J71" s="23"/>
      <c r="K71" s="38"/>
      <c r="P71" s="7"/>
      <c r="Q71"/>
    </row>
    <row r="72" spans="7:17" x14ac:dyDescent="0.35">
      <c r="G72" s="7"/>
      <c r="I72" s="2"/>
      <c r="J72" s="23"/>
      <c r="K72" s="38"/>
      <c r="P72" s="7"/>
      <c r="Q72"/>
    </row>
    <row r="73" spans="7:17" x14ac:dyDescent="0.35">
      <c r="G73" s="7"/>
      <c r="I73" s="2"/>
      <c r="J73" s="23"/>
      <c r="K73" s="38"/>
      <c r="P73" s="7"/>
      <c r="Q73"/>
    </row>
    <row r="74" spans="7:17" x14ac:dyDescent="0.35">
      <c r="G74" s="7"/>
      <c r="I74" s="2"/>
      <c r="J74" s="23"/>
      <c r="K74" s="38"/>
      <c r="P74" s="7"/>
      <c r="Q74"/>
    </row>
    <row r="75" spans="7:17" x14ac:dyDescent="0.35">
      <c r="G75" s="7"/>
      <c r="I75" s="2"/>
      <c r="J75" s="23"/>
      <c r="K75" s="38"/>
      <c r="P75" s="7"/>
      <c r="Q75"/>
    </row>
    <row r="76" spans="7:17" x14ac:dyDescent="0.35">
      <c r="G76" s="7"/>
      <c r="I76" s="2"/>
      <c r="J76" s="23"/>
      <c r="K76" s="38"/>
      <c r="P76" s="7"/>
      <c r="Q76"/>
    </row>
  </sheetData>
  <pageMargins left="0.23622047244094491" right="0.23622047244094491" top="0.74803149606299213" bottom="0.74803149606299213" header="0.31496062992125984" footer="0.31496062992125984"/>
  <pageSetup paperSize="9" scale="46" orientation="landscape" r:id="rId1"/>
  <headerFooter>
    <oddHeader>&amp;C&amp;24AI for Games: ID3 - Algorithm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2"/>
  <sheetViews>
    <sheetView zoomScale="70" zoomScaleNormal="70" workbookViewId="0">
      <selection activeCell="D30" sqref="D30"/>
    </sheetView>
  </sheetViews>
  <sheetFormatPr defaultRowHeight="21" x14ac:dyDescent="0.35"/>
  <cols>
    <col min="2" max="2" width="11.85546875" bestFit="1" customWidth="1"/>
    <col min="3" max="3" width="17.7109375" bestFit="1" customWidth="1"/>
    <col min="4" max="4" width="12.5703125" bestFit="1" customWidth="1"/>
    <col min="8" max="8" width="9.140625" style="7"/>
    <col min="9" max="9" width="27.42578125" style="7" customWidth="1"/>
    <col min="10" max="10" width="12.5703125" style="2" bestFit="1" customWidth="1"/>
    <col min="11" max="11" width="11.7109375" style="2" customWidth="1"/>
    <col min="12" max="12" width="11.85546875" style="2" customWidth="1"/>
    <col min="13" max="13" width="11.85546875" style="2" bestFit="1" customWidth="1"/>
    <col min="14" max="15" width="9.140625" style="2"/>
    <col min="16" max="16" width="10.140625" style="2" customWidth="1"/>
    <col min="17" max="17" width="10.5703125" style="7" customWidth="1"/>
    <col min="20" max="20" width="11.85546875" customWidth="1"/>
    <col min="21" max="21" width="12" bestFit="1" customWidth="1"/>
    <col min="26" max="26" width="18.5703125" customWidth="1"/>
    <col min="27" max="27" width="11.42578125" bestFit="1" customWidth="1"/>
    <col min="28" max="29" width="10.85546875" bestFit="1" customWidth="1"/>
    <col min="37" max="37" width="7" customWidth="1"/>
    <col min="38" max="38" width="10.85546875" bestFit="1" customWidth="1"/>
    <col min="39" max="39" width="10.7109375" customWidth="1"/>
  </cols>
  <sheetData>
    <row r="1" spans="1:42" x14ac:dyDescent="0.3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Q1" s="2"/>
      <c r="R1" s="2"/>
      <c r="S1" s="2"/>
      <c r="T1" s="3" t="s">
        <v>1</v>
      </c>
      <c r="U1" s="2"/>
      <c r="V1" s="2"/>
      <c r="W1" s="2"/>
      <c r="X1" s="7"/>
    </row>
    <row r="2" spans="1:42" x14ac:dyDescent="0.35">
      <c r="A2" s="13">
        <v>1</v>
      </c>
      <c r="B2" s="3" t="s">
        <v>6</v>
      </c>
      <c r="C2" s="14" t="s">
        <v>7</v>
      </c>
      <c r="D2" s="4" t="s">
        <v>8</v>
      </c>
      <c r="E2" s="5" t="s">
        <v>9</v>
      </c>
      <c r="F2" s="15" t="s">
        <v>10</v>
      </c>
      <c r="Q2" s="2"/>
      <c r="R2" s="2"/>
      <c r="S2" s="2"/>
      <c r="T2" s="2"/>
      <c r="U2" s="2"/>
      <c r="V2" s="2"/>
      <c r="W2" s="2"/>
      <c r="X2" s="7"/>
    </row>
    <row r="3" spans="1:42" x14ac:dyDescent="0.35">
      <c r="A3" s="13">
        <v>2</v>
      </c>
      <c r="B3" s="3" t="s">
        <v>6</v>
      </c>
      <c r="C3" s="14" t="s">
        <v>7</v>
      </c>
      <c r="D3" s="4" t="s">
        <v>8</v>
      </c>
      <c r="E3" s="5" t="s">
        <v>11</v>
      </c>
      <c r="F3" s="15" t="s">
        <v>10</v>
      </c>
      <c r="Q3" s="2"/>
      <c r="R3" s="3" t="s">
        <v>12</v>
      </c>
      <c r="S3" s="2"/>
      <c r="T3" s="3" t="s">
        <v>6</v>
      </c>
      <c r="U3" s="2"/>
      <c r="V3" s="3" t="s">
        <v>14</v>
      </c>
      <c r="W3" s="2"/>
      <c r="X3" s="7"/>
    </row>
    <row r="4" spans="1:42" x14ac:dyDescent="0.35">
      <c r="A4" s="13">
        <v>3</v>
      </c>
      <c r="B4" s="3" t="s">
        <v>12</v>
      </c>
      <c r="C4" s="14" t="s">
        <v>7</v>
      </c>
      <c r="D4" s="4" t="s">
        <v>8</v>
      </c>
      <c r="E4" s="5" t="s">
        <v>9</v>
      </c>
      <c r="F4" s="16" t="s">
        <v>13</v>
      </c>
      <c r="Q4" s="2"/>
      <c r="R4" s="2"/>
      <c r="S4" s="2"/>
      <c r="T4" s="2"/>
      <c r="U4" s="2"/>
      <c r="V4" s="2"/>
      <c r="W4" s="2"/>
      <c r="X4" s="7"/>
    </row>
    <row r="5" spans="1:42" x14ac:dyDescent="0.35">
      <c r="A5" s="13">
        <v>4</v>
      </c>
      <c r="B5" s="3" t="s">
        <v>14</v>
      </c>
      <c r="C5" s="14" t="s">
        <v>15</v>
      </c>
      <c r="D5" s="4" t="s">
        <v>8</v>
      </c>
      <c r="E5" s="5" t="s">
        <v>9</v>
      </c>
      <c r="F5" s="16" t="s">
        <v>13</v>
      </c>
      <c r="Q5" s="6" t="s">
        <v>13</v>
      </c>
      <c r="R5" s="2"/>
      <c r="S5" s="4" t="s">
        <v>3</v>
      </c>
      <c r="T5" s="2"/>
      <c r="U5" s="2"/>
      <c r="V5" s="2"/>
      <c r="W5" s="5" t="s">
        <v>4</v>
      </c>
      <c r="X5" s="7"/>
    </row>
    <row r="6" spans="1:42" x14ac:dyDescent="0.35">
      <c r="A6" s="13">
        <v>5</v>
      </c>
      <c r="B6" s="3" t="s">
        <v>14</v>
      </c>
      <c r="C6" s="14" t="s">
        <v>16</v>
      </c>
      <c r="D6" s="4" t="s">
        <v>17</v>
      </c>
      <c r="E6" s="5" t="s">
        <v>9</v>
      </c>
      <c r="F6" s="16" t="s">
        <v>13</v>
      </c>
      <c r="Q6" s="2"/>
      <c r="R6" s="2"/>
      <c r="S6" s="2"/>
      <c r="T6" s="2"/>
      <c r="U6" s="2"/>
      <c r="V6" s="2"/>
      <c r="W6" s="2"/>
      <c r="X6" s="7"/>
    </row>
    <row r="7" spans="1:42" x14ac:dyDescent="0.35">
      <c r="A7" s="13">
        <v>6</v>
      </c>
      <c r="B7" s="3" t="s">
        <v>14</v>
      </c>
      <c r="C7" s="14" t="s">
        <v>16</v>
      </c>
      <c r="D7" s="4" t="s">
        <v>17</v>
      </c>
      <c r="E7" s="5" t="s">
        <v>11</v>
      </c>
      <c r="F7" s="15" t="s">
        <v>10</v>
      </c>
      <c r="Q7" s="2"/>
      <c r="R7" s="4" t="s">
        <v>8</v>
      </c>
      <c r="S7" s="2"/>
      <c r="T7" s="4" t="s">
        <v>17</v>
      </c>
      <c r="U7" s="2"/>
      <c r="V7" s="5" t="s">
        <v>11</v>
      </c>
      <c r="W7" s="2"/>
      <c r="X7" s="5" t="s">
        <v>9</v>
      </c>
    </row>
    <row r="8" spans="1:42" x14ac:dyDescent="0.35">
      <c r="A8" s="13">
        <v>7</v>
      </c>
      <c r="B8" s="3" t="s">
        <v>12</v>
      </c>
      <c r="C8" s="14" t="s">
        <v>16</v>
      </c>
      <c r="D8" s="4" t="s">
        <v>17</v>
      </c>
      <c r="E8" s="5" t="s">
        <v>11</v>
      </c>
      <c r="F8" s="16" t="s">
        <v>13</v>
      </c>
      <c r="Q8" s="2"/>
      <c r="R8" s="2"/>
      <c r="S8" s="2"/>
      <c r="T8" s="2"/>
      <c r="U8" s="2"/>
      <c r="V8" s="2"/>
      <c r="W8" s="2"/>
      <c r="X8" s="7"/>
    </row>
    <row r="9" spans="1:42" x14ac:dyDescent="0.35">
      <c r="A9" s="13">
        <v>8</v>
      </c>
      <c r="B9" s="3" t="s">
        <v>6</v>
      </c>
      <c r="C9" s="14" t="s">
        <v>15</v>
      </c>
      <c r="D9" s="4" t="s">
        <v>8</v>
      </c>
      <c r="E9" s="5" t="s">
        <v>9</v>
      </c>
      <c r="F9" s="15" t="s">
        <v>10</v>
      </c>
      <c r="I9" s="9"/>
      <c r="Q9" s="2"/>
      <c r="R9" s="9" t="s">
        <v>10</v>
      </c>
      <c r="S9" s="2"/>
      <c r="T9" s="6" t="s">
        <v>13</v>
      </c>
      <c r="U9" s="2"/>
      <c r="V9" s="8" t="s">
        <v>10</v>
      </c>
      <c r="W9" s="2"/>
      <c r="X9" s="6" t="s">
        <v>13</v>
      </c>
    </row>
    <row r="10" spans="1:42" x14ac:dyDescent="0.35">
      <c r="A10" s="13">
        <v>9</v>
      </c>
      <c r="B10" s="3" t="s">
        <v>6</v>
      </c>
      <c r="C10" s="14" t="s">
        <v>16</v>
      </c>
      <c r="D10" s="4" t="s">
        <v>17</v>
      </c>
      <c r="E10" s="5" t="s">
        <v>9</v>
      </c>
      <c r="F10" s="16" t="s">
        <v>13</v>
      </c>
    </row>
    <row r="11" spans="1:42" x14ac:dyDescent="0.35">
      <c r="A11" s="13">
        <v>10</v>
      </c>
      <c r="B11" s="3" t="s">
        <v>14</v>
      </c>
      <c r="C11" s="14" t="s">
        <v>15</v>
      </c>
      <c r="D11" s="4" t="s">
        <v>17</v>
      </c>
      <c r="E11" s="5" t="s">
        <v>9</v>
      </c>
      <c r="F11" s="16" t="s">
        <v>13</v>
      </c>
      <c r="T11" s="27"/>
      <c r="V11" s="27"/>
    </row>
    <row r="12" spans="1:42" x14ac:dyDescent="0.35">
      <c r="A12" s="13">
        <v>11</v>
      </c>
      <c r="B12" s="3" t="s">
        <v>6</v>
      </c>
      <c r="C12" s="14" t="s">
        <v>15</v>
      </c>
      <c r="D12" s="4" t="s">
        <v>17</v>
      </c>
      <c r="E12" s="5" t="s">
        <v>11</v>
      </c>
      <c r="F12" s="16" t="s">
        <v>13</v>
      </c>
      <c r="H12" s="2">
        <v>1</v>
      </c>
      <c r="I12" s="7" t="s">
        <v>18</v>
      </c>
      <c r="S12" s="54" t="s">
        <v>190</v>
      </c>
      <c r="T12" s="55" t="s">
        <v>25</v>
      </c>
      <c r="U12" s="55"/>
      <c r="V12" s="55" t="s">
        <v>26</v>
      </c>
      <c r="W12" s="56"/>
      <c r="AH12" s="28" t="s">
        <v>21</v>
      </c>
      <c r="AI12">
        <f>3/7</f>
        <v>0.42857142857142855</v>
      </c>
      <c r="AJ12" s="28" t="s">
        <v>22</v>
      </c>
      <c r="AK12">
        <f>4/7</f>
        <v>0.5714285714285714</v>
      </c>
      <c r="AM12" s="28" t="s">
        <v>23</v>
      </c>
      <c r="AN12">
        <f>6/7</f>
        <v>0.8571428571428571</v>
      </c>
      <c r="AO12" s="28" t="s">
        <v>24</v>
      </c>
      <c r="AP12">
        <f>1/7</f>
        <v>0.14285714285714285</v>
      </c>
    </row>
    <row r="13" spans="1:42" x14ac:dyDescent="0.35">
      <c r="A13" s="13">
        <v>12</v>
      </c>
      <c r="B13" s="3" t="s">
        <v>12</v>
      </c>
      <c r="C13" s="14" t="s">
        <v>15</v>
      </c>
      <c r="D13" s="4" t="s">
        <v>8</v>
      </c>
      <c r="E13" s="5" t="s">
        <v>11</v>
      </c>
      <c r="F13" s="16" t="s">
        <v>13</v>
      </c>
      <c r="I13" s="7" t="s">
        <v>25</v>
      </c>
      <c r="J13" s="23" t="s">
        <v>19</v>
      </c>
      <c r="L13" s="2" t="s">
        <v>26</v>
      </c>
      <c r="M13" s="23" t="s">
        <v>20</v>
      </c>
      <c r="S13" s="57">
        <v>8</v>
      </c>
      <c r="T13" s="58">
        <v>6</v>
      </c>
      <c r="U13" s="59">
        <f>T13/S13</f>
        <v>0.75</v>
      </c>
      <c r="V13" s="58">
        <v>2</v>
      </c>
      <c r="W13" s="60">
        <f>V13/S13</f>
        <v>0.25</v>
      </c>
      <c r="AH13" s="1" t="s">
        <v>27</v>
      </c>
      <c r="AI13">
        <f>LOG(AI12,2)</f>
        <v>-1.2223924213364481</v>
      </c>
      <c r="AJ13" s="1" t="s">
        <v>27</v>
      </c>
      <c r="AK13">
        <f>LOG(AK12,2)</f>
        <v>-0.80735492205760429</v>
      </c>
      <c r="AM13" s="1" t="s">
        <v>27</v>
      </c>
      <c r="AN13">
        <f>LOG(AN12,2)</f>
        <v>-0.22239242133644802</v>
      </c>
      <c r="AO13" s="1" t="s">
        <v>27</v>
      </c>
      <c r="AP13">
        <f>LOG(AP12,2)</f>
        <v>-2.8073549220576046</v>
      </c>
    </row>
    <row r="14" spans="1:42" ht="24" x14ac:dyDescent="0.45">
      <c r="A14" s="13">
        <v>13</v>
      </c>
      <c r="B14" s="3" t="s">
        <v>12</v>
      </c>
      <c r="C14" s="14" t="s">
        <v>7</v>
      </c>
      <c r="D14" s="4" t="s">
        <v>17</v>
      </c>
      <c r="E14" s="5" t="s">
        <v>9</v>
      </c>
      <c r="F14" s="16" t="s">
        <v>13</v>
      </c>
      <c r="S14" s="61"/>
      <c r="T14" s="59" t="s">
        <v>183</v>
      </c>
      <c r="U14" s="62">
        <f>LOG(U13,2)</f>
        <v>-0.41503749927884381</v>
      </c>
      <c r="V14" s="59" t="s">
        <v>183</v>
      </c>
      <c r="W14" s="63">
        <f>LOG(W13,2)</f>
        <v>-2</v>
      </c>
      <c r="AH14" s="1" t="s">
        <v>30</v>
      </c>
      <c r="AI14" s="29">
        <f>AI12*AI13</f>
        <v>-0.52388246628704915</v>
      </c>
      <c r="AJ14" s="1" t="s">
        <v>31</v>
      </c>
      <c r="AK14" s="29">
        <f>AK12*AK13</f>
        <v>-0.46134566974720242</v>
      </c>
      <c r="AM14" s="1" t="s">
        <v>30</v>
      </c>
      <c r="AN14" s="29">
        <f>AN12*AN13</f>
        <v>-0.19062207543124116</v>
      </c>
      <c r="AO14" s="1" t="s">
        <v>31</v>
      </c>
      <c r="AP14" s="29">
        <f>AP12*AP13</f>
        <v>-0.40105070315108637</v>
      </c>
    </row>
    <row r="15" spans="1:42" ht="24" x14ac:dyDescent="0.45">
      <c r="A15" s="17">
        <v>14</v>
      </c>
      <c r="B15" s="18" t="s">
        <v>14</v>
      </c>
      <c r="C15" s="19" t="s">
        <v>15</v>
      </c>
      <c r="D15" s="20" t="s">
        <v>8</v>
      </c>
      <c r="E15" s="21" t="s">
        <v>11</v>
      </c>
      <c r="F15" s="22" t="s">
        <v>10</v>
      </c>
      <c r="I15" s="7" t="s">
        <v>32</v>
      </c>
      <c r="J15" s="23" t="s">
        <v>33</v>
      </c>
      <c r="K15" s="25" t="s">
        <v>34</v>
      </c>
      <c r="L15" s="24"/>
      <c r="M15" s="24"/>
      <c r="N15" s="24"/>
      <c r="O15" s="24"/>
      <c r="P15" s="24"/>
      <c r="Q15" s="24"/>
      <c r="R15" s="26"/>
      <c r="S15" s="61"/>
      <c r="T15" s="59" t="s">
        <v>184</v>
      </c>
      <c r="U15" s="64">
        <f>U13*U14</f>
        <v>-0.31127812445913283</v>
      </c>
      <c r="V15" s="59" t="s">
        <v>184</v>
      </c>
      <c r="W15" s="65">
        <f>W13*W14</f>
        <v>-0.5</v>
      </c>
      <c r="AI15" t="s">
        <v>35</v>
      </c>
      <c r="AJ15" s="31">
        <f>-AI14-AK14</f>
        <v>0.98522813603425163</v>
      </c>
      <c r="AN15" t="s">
        <v>35</v>
      </c>
      <c r="AO15" s="31">
        <f>-AN14-AP14</f>
        <v>0.59167277858232747</v>
      </c>
    </row>
    <row r="16" spans="1:42" x14ac:dyDescent="0.35">
      <c r="J16" s="23" t="s">
        <v>33</v>
      </c>
      <c r="K16" s="25" t="s">
        <v>36</v>
      </c>
      <c r="L16" s="24"/>
      <c r="M16" s="24"/>
      <c r="N16" s="24"/>
      <c r="O16" s="24"/>
      <c r="P16" s="24"/>
      <c r="Q16" s="24"/>
      <c r="R16" s="26"/>
      <c r="S16" s="66"/>
      <c r="T16" s="67"/>
      <c r="U16" s="67" t="s">
        <v>35</v>
      </c>
      <c r="V16" s="68">
        <f>-U15-W15</f>
        <v>0.81127812445913283</v>
      </c>
      <c r="W16" s="69"/>
    </row>
    <row r="17" spans="1:40" x14ac:dyDescent="0.35">
      <c r="J17" s="23" t="s">
        <v>33</v>
      </c>
      <c r="K17" s="30">
        <v>0.94</v>
      </c>
      <c r="L17" s="24"/>
      <c r="M17" s="24"/>
      <c r="N17" s="24"/>
      <c r="O17" s="24"/>
      <c r="P17" s="24"/>
      <c r="Q17" s="24"/>
      <c r="R17" s="26"/>
    </row>
    <row r="19" spans="1:40" ht="24" x14ac:dyDescent="0.45">
      <c r="H19" s="2">
        <v>2</v>
      </c>
      <c r="I19" s="7" t="s">
        <v>188</v>
      </c>
      <c r="V19" s="25" t="s">
        <v>34</v>
      </c>
      <c r="AD19" s="25" t="s">
        <v>34</v>
      </c>
      <c r="AN19" s="25" t="s">
        <v>34</v>
      </c>
    </row>
    <row r="20" spans="1:40" x14ac:dyDescent="0.35">
      <c r="H20" s="2"/>
      <c r="I20" s="7" t="s">
        <v>1</v>
      </c>
      <c r="Q20" s="7" t="s">
        <v>4</v>
      </c>
      <c r="Y20" s="7" t="s">
        <v>2</v>
      </c>
      <c r="Z20" s="7"/>
      <c r="AA20" s="7"/>
      <c r="AB20" s="7"/>
      <c r="AC20" s="7"/>
      <c r="AD20" s="7"/>
      <c r="AE20" s="7"/>
      <c r="AF20" s="7"/>
      <c r="AG20" s="7"/>
      <c r="AH20" s="7" t="s">
        <v>3</v>
      </c>
    </row>
    <row r="21" spans="1:40" x14ac:dyDescent="0.35">
      <c r="A21" s="10" t="s">
        <v>0</v>
      </c>
      <c r="B21" s="11" t="s">
        <v>1</v>
      </c>
      <c r="C21" s="11" t="s">
        <v>2</v>
      </c>
      <c r="D21" s="11" t="s">
        <v>3</v>
      </c>
      <c r="E21" s="11" t="s">
        <v>4</v>
      </c>
      <c r="F21" s="12" t="s">
        <v>5</v>
      </c>
      <c r="I21" s="7" t="s">
        <v>37</v>
      </c>
      <c r="K21" s="7" t="s">
        <v>38</v>
      </c>
      <c r="L21" s="24" t="s">
        <v>39</v>
      </c>
      <c r="M21" s="24" t="s">
        <v>40</v>
      </c>
      <c r="O21"/>
      <c r="Q21" s="7" t="s">
        <v>41</v>
      </c>
      <c r="T21" s="7" t="s">
        <v>42</v>
      </c>
      <c r="U21" s="24" t="s">
        <v>43</v>
      </c>
      <c r="V21" s="24" t="s">
        <v>44</v>
      </c>
      <c r="Y21" s="7" t="s">
        <v>45</v>
      </c>
      <c r="AB21" s="7" t="s">
        <v>46</v>
      </c>
      <c r="AC21" s="24" t="s">
        <v>47</v>
      </c>
      <c r="AD21" s="24" t="s">
        <v>48</v>
      </c>
      <c r="AH21" s="7" t="s">
        <v>49</v>
      </c>
      <c r="AK21" s="7"/>
      <c r="AL21" s="7" t="s">
        <v>50</v>
      </c>
      <c r="AN21" s="24" t="s">
        <v>51</v>
      </c>
    </row>
    <row r="22" spans="1:40" x14ac:dyDescent="0.35">
      <c r="A22" s="13">
        <v>1</v>
      </c>
      <c r="B22" s="3" t="s">
        <v>6</v>
      </c>
      <c r="C22" s="14" t="s">
        <v>7</v>
      </c>
      <c r="D22" s="4" t="s">
        <v>8</v>
      </c>
      <c r="E22" s="5" t="s">
        <v>9</v>
      </c>
      <c r="F22" s="15" t="s">
        <v>10</v>
      </c>
      <c r="I22" s="7" t="s">
        <v>52</v>
      </c>
      <c r="K22" s="7" t="s">
        <v>53</v>
      </c>
      <c r="L22" s="24" t="s">
        <v>54</v>
      </c>
      <c r="M22" s="24" t="s">
        <v>55</v>
      </c>
      <c r="O22" s="35">
        <f>LOG(1,2)</f>
        <v>0</v>
      </c>
      <c r="Q22" s="7" t="s">
        <v>56</v>
      </c>
      <c r="T22" s="7" t="s">
        <v>57</v>
      </c>
      <c r="U22" s="24" t="s">
        <v>58</v>
      </c>
      <c r="V22" s="24" t="s">
        <v>59</v>
      </c>
      <c r="X22" s="35">
        <f>LOG(0.5,2)</f>
        <v>-1</v>
      </c>
      <c r="Y22" s="7" t="s">
        <v>60</v>
      </c>
      <c r="AB22" s="7" t="s">
        <v>61</v>
      </c>
      <c r="AC22" s="24" t="s">
        <v>62</v>
      </c>
      <c r="AD22" s="24" t="s">
        <v>63</v>
      </c>
      <c r="AH22" s="7" t="s">
        <v>64</v>
      </c>
      <c r="AK22" s="7"/>
      <c r="AL22" s="7" t="s">
        <v>65</v>
      </c>
      <c r="AN22" s="24" t="s">
        <v>66</v>
      </c>
    </row>
    <row r="23" spans="1:40" x14ac:dyDescent="0.35">
      <c r="A23" s="13">
        <v>2</v>
      </c>
      <c r="B23" s="3" t="s">
        <v>6</v>
      </c>
      <c r="C23" s="14" t="s">
        <v>7</v>
      </c>
      <c r="D23" s="4" t="s">
        <v>8</v>
      </c>
      <c r="E23" s="5" t="s">
        <v>11</v>
      </c>
      <c r="F23" s="15" t="s">
        <v>10</v>
      </c>
      <c r="I23" s="7" t="s">
        <v>67</v>
      </c>
      <c r="K23" s="7" t="s">
        <v>68</v>
      </c>
      <c r="L23" s="24" t="s">
        <v>69</v>
      </c>
      <c r="M23" s="24" t="s">
        <v>40</v>
      </c>
      <c r="Y23" s="7" t="s">
        <v>70</v>
      </c>
      <c r="AB23" s="7" t="s">
        <v>71</v>
      </c>
      <c r="AC23" s="24" t="s">
        <v>72</v>
      </c>
      <c r="AD23" s="24" t="s">
        <v>73</v>
      </c>
      <c r="AN23" s="24"/>
    </row>
    <row r="24" spans="1:40" x14ac:dyDescent="0.35">
      <c r="A24" s="13">
        <v>3</v>
      </c>
      <c r="B24" s="3" t="s">
        <v>6</v>
      </c>
      <c r="C24" s="14" t="s">
        <v>15</v>
      </c>
      <c r="D24" s="4" t="s">
        <v>8</v>
      </c>
      <c r="E24" s="5" t="s">
        <v>9</v>
      </c>
      <c r="F24" s="15" t="s">
        <v>10</v>
      </c>
      <c r="I24" s="7" t="s">
        <v>74</v>
      </c>
      <c r="J24" s="23" t="s">
        <v>33</v>
      </c>
      <c r="K24" s="25" t="s">
        <v>75</v>
      </c>
      <c r="Q24" s="7" t="s">
        <v>76</v>
      </c>
      <c r="S24" s="28" t="s">
        <v>33</v>
      </c>
      <c r="T24" s="25" t="s">
        <v>77</v>
      </c>
      <c r="Y24" s="7" t="s">
        <v>78</v>
      </c>
      <c r="AA24" s="1" t="s">
        <v>33</v>
      </c>
      <c r="AB24" s="7" t="s">
        <v>79</v>
      </c>
      <c r="AH24" s="7" t="s">
        <v>80</v>
      </c>
      <c r="AK24" s="1" t="s">
        <v>33</v>
      </c>
      <c r="AL24" s="7" t="s">
        <v>81</v>
      </c>
      <c r="AN24" s="24"/>
    </row>
    <row r="25" spans="1:40" x14ac:dyDescent="0.35">
      <c r="A25" s="13">
        <v>4</v>
      </c>
      <c r="B25" s="3" t="s">
        <v>6</v>
      </c>
      <c r="C25" s="14" t="s">
        <v>16</v>
      </c>
      <c r="D25" s="4" t="s">
        <v>17</v>
      </c>
      <c r="E25" s="5" t="s">
        <v>9</v>
      </c>
      <c r="F25" s="16" t="s">
        <v>13</v>
      </c>
      <c r="J25" s="23" t="s">
        <v>33</v>
      </c>
      <c r="K25" s="24">
        <v>0.69399999999999995</v>
      </c>
      <c r="S25" s="28" t="s">
        <v>33</v>
      </c>
      <c r="T25" s="25" t="s">
        <v>82</v>
      </c>
      <c r="AA25" s="1" t="s">
        <v>33</v>
      </c>
      <c r="AB25" s="25">
        <f>(4/14*1)+(6/14*0.92)+(4/14*0.81)</f>
        <v>0.91142857142857137</v>
      </c>
      <c r="AL25" s="25">
        <f>(7/14*0.985)+(7/14*0.59)</f>
        <v>0.78749999999999998</v>
      </c>
    </row>
    <row r="26" spans="1:40" x14ac:dyDescent="0.35">
      <c r="A26" s="13">
        <v>5</v>
      </c>
      <c r="B26" s="3" t="s">
        <v>6</v>
      </c>
      <c r="C26" s="14" t="s">
        <v>15</v>
      </c>
      <c r="D26" s="4" t="s">
        <v>17</v>
      </c>
      <c r="E26" s="5" t="s">
        <v>11</v>
      </c>
      <c r="F26" s="16" t="s">
        <v>13</v>
      </c>
      <c r="I26" s="7" t="s">
        <v>83</v>
      </c>
      <c r="J26" s="23" t="s">
        <v>33</v>
      </c>
      <c r="K26" s="25" t="s">
        <v>84</v>
      </c>
      <c r="Q26" s="7" t="s">
        <v>85</v>
      </c>
      <c r="S26" s="28" t="s">
        <v>33</v>
      </c>
      <c r="T26" s="25" t="s">
        <v>86</v>
      </c>
      <c r="Y26" s="7" t="s">
        <v>87</v>
      </c>
      <c r="AA26" s="1" t="s">
        <v>33</v>
      </c>
      <c r="AB26" s="7" t="s">
        <v>88</v>
      </c>
      <c r="AH26" s="7" t="s">
        <v>89</v>
      </c>
      <c r="AK26" s="1" t="s">
        <v>33</v>
      </c>
      <c r="AL26" s="7" t="s">
        <v>90</v>
      </c>
    </row>
    <row r="27" spans="1:40" x14ac:dyDescent="0.35">
      <c r="J27" s="23" t="s">
        <v>33</v>
      </c>
      <c r="K27" s="43">
        <f>0.94-K25</f>
        <v>0.246</v>
      </c>
      <c r="S27" s="28" t="s">
        <v>33</v>
      </c>
      <c r="T27" s="39">
        <f>0.94-T25</f>
        <v>4.7999999999999932E-2</v>
      </c>
      <c r="AA27" s="1" t="s">
        <v>33</v>
      </c>
      <c r="AB27" s="40">
        <f>0.94 - AB25</f>
        <v>2.8571428571428581E-2</v>
      </c>
      <c r="AK27" s="1" t="s">
        <v>33</v>
      </c>
      <c r="AL27" s="40">
        <f>0.94-AL25</f>
        <v>0.15249999999999997</v>
      </c>
    </row>
    <row r="28" spans="1:40" x14ac:dyDescent="0.35">
      <c r="AL28" s="7"/>
    </row>
    <row r="29" spans="1:40" x14ac:dyDescent="0.35">
      <c r="H29" s="2">
        <v>3</v>
      </c>
      <c r="I29" s="33" t="s">
        <v>83</v>
      </c>
      <c r="J29" s="34">
        <v>0.246</v>
      </c>
      <c r="O29" s="28" t="s">
        <v>91</v>
      </c>
      <c r="P29">
        <f>1/2</f>
        <v>0.5</v>
      </c>
      <c r="Q29" s="37" t="s">
        <v>91</v>
      </c>
      <c r="R29">
        <f>1/2</f>
        <v>0.5</v>
      </c>
    </row>
    <row r="30" spans="1:40" x14ac:dyDescent="0.35">
      <c r="G30" s="7"/>
      <c r="H30" s="2"/>
      <c r="I30" s="7" t="s">
        <v>89</v>
      </c>
      <c r="J30" s="2">
        <v>0.151</v>
      </c>
      <c r="O30" s="1" t="s">
        <v>27</v>
      </c>
      <c r="P30">
        <f>LOG(P29,2)</f>
        <v>-1</v>
      </c>
      <c r="Q30" s="1" t="s">
        <v>27</v>
      </c>
      <c r="R30">
        <f>LOG(R29,2)</f>
        <v>-1</v>
      </c>
    </row>
    <row r="31" spans="1:40" x14ac:dyDescent="0.35">
      <c r="I31" s="7" t="s">
        <v>85</v>
      </c>
      <c r="J31" s="2">
        <v>4.8000000000000001E-2</v>
      </c>
      <c r="K31" s="7"/>
      <c r="O31" s="1" t="s">
        <v>28</v>
      </c>
      <c r="P31" s="29">
        <f>P29*P30</f>
        <v>-0.5</v>
      </c>
      <c r="Q31" s="1" t="s">
        <v>29</v>
      </c>
      <c r="R31" s="29">
        <f>R29*R30</f>
        <v>-0.5</v>
      </c>
    </row>
    <row r="32" spans="1:40" x14ac:dyDescent="0.35">
      <c r="I32" s="7" t="s">
        <v>92</v>
      </c>
      <c r="J32" s="2">
        <v>2.9000000000000001E-2</v>
      </c>
      <c r="O32"/>
      <c r="P32" t="s">
        <v>35</v>
      </c>
      <c r="Q32" s="31">
        <f>-P31-R31</f>
        <v>1</v>
      </c>
    </row>
    <row r="33" spans="1:30" x14ac:dyDescent="0.35">
      <c r="O33"/>
      <c r="P33"/>
      <c r="Q33" s="31"/>
    </row>
    <row r="34" spans="1:30" x14ac:dyDescent="0.35">
      <c r="A34" s="10" t="s">
        <v>0</v>
      </c>
      <c r="B34" s="11" t="s">
        <v>1</v>
      </c>
      <c r="C34" s="11" t="s">
        <v>2</v>
      </c>
      <c r="D34" s="11" t="s">
        <v>3</v>
      </c>
      <c r="E34" s="11" t="s">
        <v>4</v>
      </c>
      <c r="F34" s="12" t="s">
        <v>5</v>
      </c>
      <c r="I34" s="7" t="s">
        <v>93</v>
      </c>
      <c r="Q34" s="31"/>
    </row>
    <row r="35" spans="1:30" ht="24" x14ac:dyDescent="0.45">
      <c r="A35" s="13">
        <v>1</v>
      </c>
      <c r="B35" s="3" t="s">
        <v>6</v>
      </c>
      <c r="C35" s="14" t="s">
        <v>7</v>
      </c>
      <c r="D35" s="4" t="s">
        <v>8</v>
      </c>
      <c r="E35" s="5" t="s">
        <v>9</v>
      </c>
      <c r="F35" s="15" t="s">
        <v>10</v>
      </c>
      <c r="I35" s="42" t="s">
        <v>94</v>
      </c>
      <c r="J35" s="23" t="s">
        <v>33</v>
      </c>
      <c r="K35" s="25" t="s">
        <v>34</v>
      </c>
      <c r="M35" s="23"/>
      <c r="Q35" s="31"/>
    </row>
    <row r="36" spans="1:30" x14ac:dyDescent="0.35">
      <c r="A36" s="13">
        <v>2</v>
      </c>
      <c r="B36" s="3" t="s">
        <v>6</v>
      </c>
      <c r="C36" s="14" t="s">
        <v>7</v>
      </c>
      <c r="D36" s="4" t="s">
        <v>8</v>
      </c>
      <c r="E36" s="5" t="s">
        <v>11</v>
      </c>
      <c r="F36" s="15" t="s">
        <v>10</v>
      </c>
      <c r="J36" s="23" t="s">
        <v>33</v>
      </c>
      <c r="K36" s="25" t="s">
        <v>95</v>
      </c>
      <c r="M36" s="23"/>
    </row>
    <row r="37" spans="1:30" x14ac:dyDescent="0.35">
      <c r="A37" s="13">
        <v>3</v>
      </c>
      <c r="B37" s="3" t="s">
        <v>6</v>
      </c>
      <c r="C37" s="14" t="s">
        <v>15</v>
      </c>
      <c r="D37" s="4" t="s">
        <v>8</v>
      </c>
      <c r="E37" s="5" t="s">
        <v>9</v>
      </c>
      <c r="F37" s="15" t="s">
        <v>10</v>
      </c>
      <c r="J37" s="23" t="s">
        <v>33</v>
      </c>
      <c r="K37" s="25">
        <v>0.97099999999999997</v>
      </c>
      <c r="M37" s="23"/>
    </row>
    <row r="38" spans="1:30" x14ac:dyDescent="0.35">
      <c r="A38" s="13">
        <v>4</v>
      </c>
      <c r="B38" s="3" t="s">
        <v>6</v>
      </c>
      <c r="C38" s="14" t="s">
        <v>16</v>
      </c>
      <c r="D38" s="4" t="s">
        <v>17</v>
      </c>
      <c r="E38" s="5" t="s">
        <v>9</v>
      </c>
      <c r="F38" s="16" t="s">
        <v>13</v>
      </c>
      <c r="I38" s="7" t="s">
        <v>3</v>
      </c>
      <c r="Q38" s="24" t="s">
        <v>4</v>
      </c>
      <c r="R38" s="2"/>
      <c r="S38" s="7"/>
      <c r="Y38" s="24" t="s">
        <v>2</v>
      </c>
      <c r="Z38" s="2"/>
      <c r="AA38" s="7"/>
    </row>
    <row r="39" spans="1:30" x14ac:dyDescent="0.35">
      <c r="A39" s="13">
        <v>5</v>
      </c>
      <c r="B39" s="3" t="s">
        <v>6</v>
      </c>
      <c r="C39" s="14" t="s">
        <v>15</v>
      </c>
      <c r="D39" s="4" t="s">
        <v>17</v>
      </c>
      <c r="E39" s="5" t="s">
        <v>11</v>
      </c>
      <c r="F39" s="16" t="s">
        <v>13</v>
      </c>
      <c r="I39" s="7" t="s">
        <v>49</v>
      </c>
      <c r="K39" s="7" t="s">
        <v>96</v>
      </c>
      <c r="L39" s="24" t="s">
        <v>97</v>
      </c>
      <c r="M39" s="45" t="s">
        <v>55</v>
      </c>
      <c r="N39" s="46"/>
      <c r="O39" s="7"/>
      <c r="P39" s="23"/>
      <c r="Q39" s="7" t="s">
        <v>56</v>
      </c>
      <c r="R39" s="2"/>
      <c r="S39" s="2"/>
      <c r="T39" s="7" t="s">
        <v>98</v>
      </c>
      <c r="U39" s="24" t="s">
        <v>99</v>
      </c>
      <c r="V39" s="24" t="s">
        <v>48</v>
      </c>
      <c r="Y39" s="7" t="s">
        <v>70</v>
      </c>
      <c r="Z39" s="2"/>
      <c r="AA39" s="2"/>
      <c r="AB39" s="7" t="s">
        <v>100</v>
      </c>
      <c r="AC39" s="24" t="s">
        <v>101</v>
      </c>
      <c r="AD39" s="24" t="s">
        <v>55</v>
      </c>
    </row>
    <row r="40" spans="1:30" x14ac:dyDescent="0.35">
      <c r="I40" s="7" t="s">
        <v>64</v>
      </c>
      <c r="K40" s="7" t="s">
        <v>102</v>
      </c>
      <c r="L40" s="24" t="s">
        <v>103</v>
      </c>
      <c r="M40" s="45" t="s">
        <v>55</v>
      </c>
      <c r="N40" s="46"/>
      <c r="O40" s="7"/>
      <c r="P40" s="23"/>
      <c r="Q40" s="7" t="s">
        <v>41</v>
      </c>
      <c r="R40" s="2"/>
      <c r="S40" s="2"/>
      <c r="T40" s="7" t="s">
        <v>104</v>
      </c>
      <c r="U40" s="24" t="s">
        <v>105</v>
      </c>
      <c r="V40" s="24" t="s">
        <v>106</v>
      </c>
      <c r="Y40" s="7" t="s">
        <v>45</v>
      </c>
      <c r="Z40" s="2"/>
      <c r="AA40" s="2"/>
      <c r="AB40" s="7" t="s">
        <v>107</v>
      </c>
      <c r="AC40" s="24" t="s">
        <v>108</v>
      </c>
      <c r="AD40" s="24" t="s">
        <v>55</v>
      </c>
    </row>
    <row r="41" spans="1:30" x14ac:dyDescent="0.35">
      <c r="I41" s="7" t="s">
        <v>109</v>
      </c>
      <c r="J41" s="23" t="s">
        <v>33</v>
      </c>
      <c r="K41" s="25" t="s">
        <v>110</v>
      </c>
      <c r="O41" s="7"/>
      <c r="P41" s="23"/>
      <c r="Q41" s="7" t="s">
        <v>76</v>
      </c>
      <c r="R41" s="23"/>
      <c r="S41" s="23" t="s">
        <v>33</v>
      </c>
      <c r="T41" s="25" t="s">
        <v>111</v>
      </c>
      <c r="U41" s="2"/>
      <c r="V41" s="2"/>
      <c r="Y41" s="7" t="s">
        <v>112</v>
      </c>
      <c r="Z41" s="2"/>
      <c r="AA41" s="2"/>
      <c r="AB41" s="7" t="s">
        <v>98</v>
      </c>
      <c r="AC41" s="24" t="s">
        <v>99</v>
      </c>
      <c r="AD41" s="24" t="s">
        <v>48</v>
      </c>
    </row>
    <row r="42" spans="1:30" x14ac:dyDescent="0.35">
      <c r="G42" s="7"/>
      <c r="J42" s="23" t="s">
        <v>33</v>
      </c>
      <c r="K42" s="24">
        <v>0</v>
      </c>
      <c r="O42" s="7"/>
      <c r="P42" s="23"/>
      <c r="R42" s="23"/>
      <c r="S42" s="23" t="s">
        <v>33</v>
      </c>
      <c r="T42" s="32">
        <f>(2/5 * 1) + (3/5 * 0.918)</f>
        <v>0.95079999999999998</v>
      </c>
      <c r="U42" s="2"/>
      <c r="V42" s="2"/>
      <c r="Y42" s="7" t="s">
        <v>76</v>
      </c>
      <c r="Z42" s="23"/>
      <c r="AA42" s="23" t="s">
        <v>33</v>
      </c>
      <c r="AB42" s="25" t="s">
        <v>113</v>
      </c>
      <c r="AC42" s="2"/>
      <c r="AD42" s="2"/>
    </row>
    <row r="43" spans="1:30" x14ac:dyDescent="0.35">
      <c r="G43" s="7"/>
      <c r="I43" s="7" t="s">
        <v>89</v>
      </c>
      <c r="J43" s="23" t="s">
        <v>33</v>
      </c>
      <c r="K43" s="23" t="s">
        <v>114</v>
      </c>
      <c r="O43" s="7"/>
      <c r="P43" s="23"/>
      <c r="Q43" s="7" t="s">
        <v>89</v>
      </c>
      <c r="R43" s="23"/>
      <c r="S43" s="23" t="s">
        <v>33</v>
      </c>
      <c r="T43" s="25" t="s">
        <v>115</v>
      </c>
      <c r="U43" s="2"/>
      <c r="V43" s="2"/>
      <c r="Y43" s="7"/>
      <c r="Z43" s="23"/>
      <c r="AA43" s="23" t="s">
        <v>33</v>
      </c>
      <c r="AB43" s="25">
        <f>(1/5 * 0) + (2/5 * 0) + (2/5 * 1)</f>
        <v>0.4</v>
      </c>
      <c r="AC43" s="2"/>
      <c r="AD43" s="2"/>
    </row>
    <row r="44" spans="1:30" x14ac:dyDescent="0.35">
      <c r="G44" s="7"/>
      <c r="I44" s="2"/>
      <c r="J44" s="23" t="s">
        <v>33</v>
      </c>
      <c r="K44" s="43">
        <v>0.97099999999999997</v>
      </c>
      <c r="P44" s="7"/>
      <c r="Q44" s="2"/>
      <c r="R44" s="23"/>
      <c r="S44" s="23" t="s">
        <v>33</v>
      </c>
      <c r="T44" s="40">
        <f>0.971 - 0.951</f>
        <v>2.0000000000000018E-2</v>
      </c>
      <c r="U44" s="2"/>
      <c r="V44" s="2"/>
      <c r="Y44" s="7" t="s">
        <v>89</v>
      </c>
      <c r="Z44" s="23"/>
      <c r="AA44" s="23" t="s">
        <v>33</v>
      </c>
      <c r="AB44" s="25" t="s">
        <v>116</v>
      </c>
      <c r="AC44" s="2"/>
      <c r="AD44" s="2"/>
    </row>
    <row r="45" spans="1:30" x14ac:dyDescent="0.35">
      <c r="G45" s="7"/>
      <c r="I45" s="2"/>
      <c r="J45" s="23"/>
      <c r="K45" s="38"/>
      <c r="P45" s="7"/>
      <c r="Q45" s="2"/>
      <c r="R45" s="23"/>
      <c r="S45" s="23"/>
      <c r="T45" s="40"/>
      <c r="U45" s="2"/>
      <c r="V45" s="2"/>
      <c r="Y45" s="7"/>
      <c r="Z45" s="23"/>
      <c r="AA45" s="23" t="s">
        <v>33</v>
      </c>
      <c r="AB45" s="40">
        <f>0.971 -0.4</f>
        <v>0.57099999999999995</v>
      </c>
      <c r="AC45" s="2"/>
      <c r="AD45" s="2"/>
    </row>
    <row r="46" spans="1:30" x14ac:dyDescent="0.35">
      <c r="A46" s="10" t="s">
        <v>0</v>
      </c>
      <c r="B46" s="11" t="s">
        <v>1</v>
      </c>
      <c r="C46" s="11" t="s">
        <v>2</v>
      </c>
      <c r="D46" s="11" t="s">
        <v>3</v>
      </c>
      <c r="E46" s="11" t="s">
        <v>4</v>
      </c>
      <c r="F46" s="12" t="s">
        <v>5</v>
      </c>
      <c r="G46" s="7"/>
      <c r="I46" s="7" t="s">
        <v>117</v>
      </c>
      <c r="P46" s="7"/>
      <c r="Q46"/>
      <c r="Y46" s="2"/>
      <c r="Z46" s="23"/>
      <c r="AC46" s="2"/>
      <c r="AD46" s="2"/>
    </row>
    <row r="47" spans="1:30" ht="24" x14ac:dyDescent="0.45">
      <c r="A47" s="13">
        <v>1</v>
      </c>
      <c r="B47" s="3" t="s">
        <v>14</v>
      </c>
      <c r="C47" s="14" t="s">
        <v>15</v>
      </c>
      <c r="D47" s="4" t="s">
        <v>8</v>
      </c>
      <c r="E47" s="5" t="s">
        <v>9</v>
      </c>
      <c r="F47" s="16" t="s">
        <v>13</v>
      </c>
      <c r="G47" s="7"/>
      <c r="I47" s="42" t="s">
        <v>118</v>
      </c>
      <c r="J47" s="23" t="s">
        <v>33</v>
      </c>
      <c r="K47" s="25" t="s">
        <v>34</v>
      </c>
      <c r="P47" s="24"/>
      <c r="Q47"/>
    </row>
    <row r="48" spans="1:30" x14ac:dyDescent="0.35">
      <c r="A48" s="13">
        <v>2</v>
      </c>
      <c r="B48" s="3" t="s">
        <v>14</v>
      </c>
      <c r="C48" s="14" t="s">
        <v>16</v>
      </c>
      <c r="D48" s="4" t="s">
        <v>17</v>
      </c>
      <c r="E48" s="5" t="s">
        <v>9</v>
      </c>
      <c r="F48" s="16" t="s">
        <v>13</v>
      </c>
      <c r="J48" s="23" t="s">
        <v>33</v>
      </c>
      <c r="K48" s="25" t="s">
        <v>119</v>
      </c>
      <c r="Q48"/>
    </row>
    <row r="49" spans="1:31" x14ac:dyDescent="0.35">
      <c r="A49" s="13">
        <v>3</v>
      </c>
      <c r="B49" s="3" t="s">
        <v>14</v>
      </c>
      <c r="C49" s="14" t="s">
        <v>16</v>
      </c>
      <c r="D49" s="4" t="s">
        <v>17</v>
      </c>
      <c r="E49" s="5" t="s">
        <v>11</v>
      </c>
      <c r="F49" s="15" t="s">
        <v>10</v>
      </c>
      <c r="J49" s="23" t="s">
        <v>33</v>
      </c>
      <c r="K49" s="25">
        <v>0.97099999999999997</v>
      </c>
      <c r="R49" s="23"/>
      <c r="S49" s="25"/>
      <c r="T49" s="2"/>
      <c r="U49" s="2"/>
      <c r="V49" s="2"/>
    </row>
    <row r="50" spans="1:31" x14ac:dyDescent="0.35">
      <c r="A50" s="13">
        <v>4</v>
      </c>
      <c r="B50" s="3" t="s">
        <v>14</v>
      </c>
      <c r="C50" s="14" t="s">
        <v>15</v>
      </c>
      <c r="D50" s="4" t="s">
        <v>17</v>
      </c>
      <c r="E50" s="5" t="s">
        <v>9</v>
      </c>
      <c r="F50" s="16" t="s">
        <v>13</v>
      </c>
      <c r="I50" s="7" t="s">
        <v>3</v>
      </c>
      <c r="J50" s="23"/>
      <c r="K50" s="25"/>
      <c r="Q50" s="7" t="s">
        <v>4</v>
      </c>
      <c r="R50" s="7"/>
      <c r="S50" s="23"/>
      <c r="T50" s="25"/>
      <c r="U50" s="2"/>
      <c r="V50" s="2"/>
      <c r="W50" s="2"/>
      <c r="Y50" s="24" t="s">
        <v>2</v>
      </c>
      <c r="Z50" s="2"/>
      <c r="AA50" s="7"/>
    </row>
    <row r="51" spans="1:31" x14ac:dyDescent="0.35">
      <c r="A51" s="13">
        <v>5</v>
      </c>
      <c r="B51" s="18" t="s">
        <v>14</v>
      </c>
      <c r="C51" s="19" t="s">
        <v>15</v>
      </c>
      <c r="D51" s="20" t="s">
        <v>8</v>
      </c>
      <c r="E51" s="21" t="s">
        <v>11</v>
      </c>
      <c r="F51" s="22" t="s">
        <v>10</v>
      </c>
      <c r="I51" s="7" t="s">
        <v>49</v>
      </c>
      <c r="K51" s="7" t="s">
        <v>98</v>
      </c>
      <c r="L51" s="24" t="s">
        <v>99</v>
      </c>
      <c r="M51" s="24" t="s">
        <v>48</v>
      </c>
      <c r="Q51" s="7" t="s">
        <v>56</v>
      </c>
      <c r="R51" s="7"/>
      <c r="S51" s="2"/>
      <c r="T51" s="7" t="s">
        <v>107</v>
      </c>
      <c r="U51" s="24" t="s">
        <v>108</v>
      </c>
      <c r="V51" s="45" t="s">
        <v>55</v>
      </c>
      <c r="W51" s="45"/>
      <c r="Y51" s="7" t="s">
        <v>70</v>
      </c>
      <c r="Z51" s="2"/>
      <c r="AA51" s="2"/>
      <c r="AB51" s="7" t="s">
        <v>98</v>
      </c>
      <c r="AC51" s="24" t="s">
        <v>99</v>
      </c>
      <c r="AD51" s="24" t="s">
        <v>48</v>
      </c>
    </row>
    <row r="52" spans="1:31" x14ac:dyDescent="0.35">
      <c r="I52" s="7" t="s">
        <v>64</v>
      </c>
      <c r="K52" s="7" t="s">
        <v>120</v>
      </c>
      <c r="L52" s="24" t="s">
        <v>121</v>
      </c>
      <c r="M52" s="24" t="s">
        <v>106</v>
      </c>
      <c r="Q52" s="7" t="s">
        <v>41</v>
      </c>
      <c r="R52" s="7"/>
      <c r="S52" s="2"/>
      <c r="T52" s="7" t="s">
        <v>122</v>
      </c>
      <c r="U52" s="24" t="s">
        <v>123</v>
      </c>
      <c r="V52" s="45" t="s">
        <v>55</v>
      </c>
      <c r="W52" s="45"/>
      <c r="Y52" s="7" t="s">
        <v>112</v>
      </c>
      <c r="Z52" s="2"/>
      <c r="AA52" s="2"/>
      <c r="AB52" s="7" t="s">
        <v>120</v>
      </c>
      <c r="AC52" s="24" t="s">
        <v>121</v>
      </c>
      <c r="AD52" s="24" t="s">
        <v>106</v>
      </c>
      <c r="AE52" s="2"/>
    </row>
    <row r="53" spans="1:31" x14ac:dyDescent="0.35">
      <c r="I53" s="7" t="s">
        <v>109</v>
      </c>
      <c r="J53" s="23" t="s">
        <v>33</v>
      </c>
      <c r="K53" s="25" t="s">
        <v>111</v>
      </c>
      <c r="Q53" s="7" t="s">
        <v>76</v>
      </c>
      <c r="R53" s="7"/>
      <c r="S53" s="23" t="s">
        <v>33</v>
      </c>
      <c r="T53" s="25" t="s">
        <v>124</v>
      </c>
      <c r="U53" s="2"/>
      <c r="V53" s="2"/>
      <c r="W53" s="2"/>
      <c r="Y53" s="7" t="s">
        <v>125</v>
      </c>
      <c r="Z53" s="23"/>
      <c r="AA53" s="23" t="s">
        <v>33</v>
      </c>
      <c r="AB53" s="25" t="s">
        <v>111</v>
      </c>
      <c r="AC53" s="2"/>
      <c r="AD53" s="2"/>
    </row>
    <row r="54" spans="1:31" x14ac:dyDescent="0.35">
      <c r="J54" s="23" t="s">
        <v>33</v>
      </c>
      <c r="K54" s="32">
        <f>(2/5 * 1) + (3/5 * 0.918)</f>
        <v>0.95079999999999998</v>
      </c>
      <c r="R54" s="7"/>
      <c r="S54" s="23" t="s">
        <v>33</v>
      </c>
      <c r="T54" s="32">
        <v>0</v>
      </c>
      <c r="U54" s="2"/>
      <c r="V54" s="2"/>
      <c r="W54" s="2"/>
      <c r="Y54" s="7"/>
      <c r="Z54" s="23"/>
      <c r="AA54" s="23" t="s">
        <v>33</v>
      </c>
      <c r="AB54" s="32">
        <f>(2/5 * 1) + (3/5 * 0.918)</f>
        <v>0.95079999999999998</v>
      </c>
      <c r="AC54" s="2"/>
      <c r="AD54" s="2"/>
    </row>
    <row r="55" spans="1:31" x14ac:dyDescent="0.35">
      <c r="I55" s="7" t="s">
        <v>89</v>
      </c>
      <c r="J55" s="23" t="s">
        <v>33</v>
      </c>
      <c r="K55" s="25" t="s">
        <v>115</v>
      </c>
      <c r="Q55" s="7" t="s">
        <v>89</v>
      </c>
      <c r="R55" s="7"/>
      <c r="S55" s="23" t="s">
        <v>33</v>
      </c>
      <c r="T55" s="25" t="s">
        <v>114</v>
      </c>
      <c r="U55" s="2"/>
      <c r="V55" s="2"/>
      <c r="W55" s="2"/>
      <c r="Y55" s="7" t="s">
        <v>89</v>
      </c>
      <c r="Z55" s="23"/>
      <c r="AA55" s="23" t="s">
        <v>33</v>
      </c>
      <c r="AB55" s="25" t="s">
        <v>115</v>
      </c>
      <c r="AC55" s="2"/>
      <c r="AD55" s="2"/>
    </row>
    <row r="56" spans="1:31" x14ac:dyDescent="0.35">
      <c r="I56" s="2"/>
      <c r="J56" s="23" t="s">
        <v>33</v>
      </c>
      <c r="K56" s="41">
        <f>0.971 -K54</f>
        <v>2.0199999999999996E-2</v>
      </c>
      <c r="Q56" s="2"/>
      <c r="R56" s="2"/>
      <c r="S56" s="23" t="s">
        <v>33</v>
      </c>
      <c r="T56" s="44">
        <f>0.971 -T54</f>
        <v>0.97099999999999997</v>
      </c>
      <c r="U56" s="2"/>
      <c r="V56" s="2"/>
      <c r="W56" s="2"/>
      <c r="Y56" s="7"/>
      <c r="Z56" s="23"/>
      <c r="AA56" s="23" t="s">
        <v>33</v>
      </c>
      <c r="AB56" s="39">
        <f>0.971 -AB54</f>
        <v>2.0199999999999996E-2</v>
      </c>
      <c r="AC56" s="2"/>
      <c r="AD56" s="2"/>
    </row>
    <row r="58" spans="1:31" x14ac:dyDescent="0.35">
      <c r="A58" s="10" t="s">
        <v>0</v>
      </c>
      <c r="B58" s="11" t="s">
        <v>1</v>
      </c>
      <c r="C58" s="11" t="s">
        <v>2</v>
      </c>
      <c r="D58" s="11" t="s">
        <v>3</v>
      </c>
      <c r="E58" s="11" t="s">
        <v>4</v>
      </c>
      <c r="F58" s="12" t="s">
        <v>5</v>
      </c>
      <c r="I58" s="7" t="s">
        <v>180</v>
      </c>
    </row>
    <row r="59" spans="1:31" ht="24" x14ac:dyDescent="0.45">
      <c r="A59" s="13">
        <v>3</v>
      </c>
      <c r="B59" s="3" t="s">
        <v>12</v>
      </c>
      <c r="C59" s="14" t="s">
        <v>7</v>
      </c>
      <c r="D59" s="4" t="s">
        <v>8</v>
      </c>
      <c r="E59" s="5" t="s">
        <v>9</v>
      </c>
      <c r="F59" s="16" t="s">
        <v>13</v>
      </c>
      <c r="I59" s="42" t="s">
        <v>181</v>
      </c>
      <c r="J59" s="23" t="s">
        <v>33</v>
      </c>
      <c r="K59" s="25" t="s">
        <v>34</v>
      </c>
      <c r="O59" s="7"/>
      <c r="P59"/>
      <c r="Q59"/>
    </row>
    <row r="60" spans="1:31" x14ac:dyDescent="0.35">
      <c r="A60" s="13">
        <v>7</v>
      </c>
      <c r="B60" s="3" t="s">
        <v>12</v>
      </c>
      <c r="C60" s="14" t="s">
        <v>16</v>
      </c>
      <c r="D60" s="4" t="s">
        <v>17</v>
      </c>
      <c r="E60" s="5" t="s">
        <v>11</v>
      </c>
      <c r="F60" s="16" t="s">
        <v>13</v>
      </c>
      <c r="J60" s="23" t="s">
        <v>33</v>
      </c>
      <c r="K60" s="25" t="s">
        <v>182</v>
      </c>
      <c r="O60" s="7"/>
      <c r="P60"/>
      <c r="Q60"/>
    </row>
    <row r="61" spans="1:31" x14ac:dyDescent="0.35">
      <c r="A61" s="13">
        <v>12</v>
      </c>
      <c r="B61" s="3" t="s">
        <v>12</v>
      </c>
      <c r="C61" s="14" t="s">
        <v>15</v>
      </c>
      <c r="D61" s="4" t="s">
        <v>8</v>
      </c>
      <c r="E61" s="5" t="s">
        <v>11</v>
      </c>
      <c r="F61" s="16" t="s">
        <v>13</v>
      </c>
      <c r="J61" s="23" t="s">
        <v>33</v>
      </c>
      <c r="K61" s="43">
        <v>0</v>
      </c>
      <c r="O61" s="7"/>
      <c r="P61"/>
      <c r="Q61"/>
    </row>
    <row r="62" spans="1:31" x14ac:dyDescent="0.35">
      <c r="A62" s="13">
        <v>13</v>
      </c>
      <c r="B62" s="3" t="s">
        <v>12</v>
      </c>
      <c r="C62" s="14" t="s">
        <v>7</v>
      </c>
      <c r="D62" s="4" t="s">
        <v>17</v>
      </c>
      <c r="E62" s="5" t="s">
        <v>9</v>
      </c>
      <c r="F62" s="16" t="s">
        <v>13</v>
      </c>
      <c r="I62" s="2"/>
      <c r="O62" s="7"/>
      <c r="P62"/>
      <c r="Q62"/>
    </row>
    <row r="63" spans="1:31" x14ac:dyDescent="0.35">
      <c r="I63" s="2"/>
      <c r="O63" s="7"/>
      <c r="P63"/>
      <c r="Q63"/>
    </row>
    <row r="64" spans="1:31" x14ac:dyDescent="0.35">
      <c r="I64" s="2"/>
      <c r="O64" s="7"/>
      <c r="P64"/>
      <c r="Q64"/>
    </row>
    <row r="65" spans="1:17" x14ac:dyDescent="0.35">
      <c r="I65" s="2"/>
      <c r="O65" s="7"/>
      <c r="P65"/>
      <c r="Q65"/>
    </row>
    <row r="66" spans="1:17" x14ac:dyDescent="0.35">
      <c r="I66" s="25"/>
      <c r="O66" s="7"/>
      <c r="P66"/>
      <c r="Q66"/>
    </row>
    <row r="67" spans="1:17" x14ac:dyDescent="0.35">
      <c r="I67" s="25"/>
      <c r="O67" s="7"/>
      <c r="P67"/>
      <c r="Q67"/>
    </row>
    <row r="68" spans="1:17" x14ac:dyDescent="0.35">
      <c r="A68" s="7" t="s">
        <v>165</v>
      </c>
      <c r="I68" s="25"/>
      <c r="O68" s="7"/>
      <c r="P68"/>
      <c r="Q68"/>
    </row>
    <row r="69" spans="1:17" x14ac:dyDescent="0.35">
      <c r="A69" s="7" t="s">
        <v>166</v>
      </c>
      <c r="I69" s="2"/>
      <c r="O69" s="7"/>
      <c r="P69"/>
      <c r="Q69"/>
    </row>
    <row r="70" spans="1:17" x14ac:dyDescent="0.35">
      <c r="A70" s="7" t="s">
        <v>167</v>
      </c>
      <c r="I70" s="2"/>
      <c r="O70" s="7"/>
      <c r="P70"/>
      <c r="Q70"/>
    </row>
    <row r="71" spans="1:17" x14ac:dyDescent="0.35">
      <c r="A71" s="7" t="s">
        <v>168</v>
      </c>
    </row>
    <row r="72" spans="1:17" x14ac:dyDescent="0.35">
      <c r="A72" s="7" t="s">
        <v>169</v>
      </c>
    </row>
    <row r="73" spans="1:17" x14ac:dyDescent="0.35">
      <c r="A73" s="7" t="s">
        <v>170</v>
      </c>
    </row>
    <row r="74" spans="1:17" x14ac:dyDescent="0.35">
      <c r="A74" s="7" t="s">
        <v>171</v>
      </c>
    </row>
    <row r="75" spans="1:17" x14ac:dyDescent="0.35">
      <c r="A75" s="7" t="s">
        <v>172</v>
      </c>
    </row>
    <row r="76" spans="1:17" x14ac:dyDescent="0.35">
      <c r="A76" s="7" t="s">
        <v>173</v>
      </c>
    </row>
    <row r="77" spans="1:17" x14ac:dyDescent="0.35">
      <c r="A77" s="7" t="s">
        <v>174</v>
      </c>
    </row>
    <row r="78" spans="1:17" x14ac:dyDescent="0.35">
      <c r="A78" s="7" t="s">
        <v>175</v>
      </c>
    </row>
    <row r="79" spans="1:17" x14ac:dyDescent="0.35">
      <c r="A79" s="7" t="s">
        <v>176</v>
      </c>
    </row>
    <row r="80" spans="1:17" x14ac:dyDescent="0.35">
      <c r="A80" s="7" t="s">
        <v>177</v>
      </c>
    </row>
    <row r="81" spans="1:1" x14ac:dyDescent="0.35">
      <c r="A81" s="7" t="s">
        <v>178</v>
      </c>
    </row>
    <row r="82" spans="1:1" x14ac:dyDescent="0.35">
      <c r="A82" s="7" t="s">
        <v>179</v>
      </c>
    </row>
  </sheetData>
  <pageMargins left="0.23622047244094491" right="0.23622047244094491" top="0.74803149606299213" bottom="0.74803149606299213" header="0.31496062992125984" footer="0.31496062992125984"/>
  <pageSetup paperSize="9" scale="70" orientation="landscape" r:id="rId1"/>
  <headerFooter>
    <oddHeader>&amp;C&amp;24AI for Games: ID3 - Algorithm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2324D-5270-4B22-9BD6-BB4C61271F9B}">
  <dimension ref="A1:O16"/>
  <sheetViews>
    <sheetView workbookViewId="0">
      <selection activeCell="O1" sqref="O1"/>
    </sheetView>
  </sheetViews>
  <sheetFormatPr defaultRowHeight="15" x14ac:dyDescent="0.25"/>
  <sheetData>
    <row r="1" spans="1:15" ht="16.5" x14ac:dyDescent="0.3">
      <c r="A1" s="36" t="s">
        <v>126</v>
      </c>
      <c r="H1" s="36" t="s">
        <v>127</v>
      </c>
      <c r="O1" s="36" t="s">
        <v>128</v>
      </c>
    </row>
    <row r="2" spans="1:15" ht="16.5" x14ac:dyDescent="0.3">
      <c r="A2" s="36" t="s">
        <v>129</v>
      </c>
      <c r="H2" s="36" t="s">
        <v>130</v>
      </c>
      <c r="O2" s="36" t="s">
        <v>131</v>
      </c>
    </row>
    <row r="3" spans="1:15" ht="16.5" x14ac:dyDescent="0.3">
      <c r="A3" s="36" t="s">
        <v>132</v>
      </c>
      <c r="H3" s="36" t="s">
        <v>133</v>
      </c>
      <c r="O3" s="36" t="s">
        <v>134</v>
      </c>
    </row>
    <row r="4" spans="1:15" ht="16.5" x14ac:dyDescent="0.3">
      <c r="A4" s="36" t="s">
        <v>135</v>
      </c>
      <c r="H4" s="36" t="s">
        <v>136</v>
      </c>
      <c r="O4" s="36" t="s">
        <v>137</v>
      </c>
    </row>
    <row r="5" spans="1:15" ht="16.5" x14ac:dyDescent="0.3">
      <c r="A5" s="36" t="s">
        <v>138</v>
      </c>
      <c r="H5" s="36" t="s">
        <v>139</v>
      </c>
      <c r="O5" s="36" t="s">
        <v>140</v>
      </c>
    </row>
    <row r="6" spans="1:15" ht="16.5" x14ac:dyDescent="0.3">
      <c r="A6" s="36" t="s">
        <v>141</v>
      </c>
      <c r="H6" s="36" t="s">
        <v>133</v>
      </c>
      <c r="O6" s="36" t="s">
        <v>142</v>
      </c>
    </row>
    <row r="7" spans="1:15" ht="16.5" x14ac:dyDescent="0.3">
      <c r="A7" s="36" t="s">
        <v>143</v>
      </c>
      <c r="H7" s="36" t="s">
        <v>144</v>
      </c>
      <c r="O7" s="36" t="s">
        <v>145</v>
      </c>
    </row>
    <row r="8" spans="1:15" ht="16.5" x14ac:dyDescent="0.3">
      <c r="A8" s="36" t="s">
        <v>146</v>
      </c>
      <c r="H8" s="36" t="s">
        <v>139</v>
      </c>
      <c r="O8" s="36" t="s">
        <v>147</v>
      </c>
    </row>
    <row r="9" spans="1:15" ht="16.5" x14ac:dyDescent="0.3">
      <c r="A9" s="36" t="s">
        <v>148</v>
      </c>
      <c r="H9" s="36" t="s">
        <v>139</v>
      </c>
      <c r="O9" s="36" t="s">
        <v>149</v>
      </c>
    </row>
    <row r="10" spans="1:15" ht="16.5" x14ac:dyDescent="0.3">
      <c r="A10" s="36" t="s">
        <v>150</v>
      </c>
      <c r="H10" s="36" t="s">
        <v>151</v>
      </c>
      <c r="O10" s="36" t="s">
        <v>152</v>
      </c>
    </row>
    <row r="11" spans="1:15" ht="16.5" x14ac:dyDescent="0.3">
      <c r="A11" s="36" t="s">
        <v>153</v>
      </c>
      <c r="H11" s="36" t="s">
        <v>154</v>
      </c>
      <c r="O11" s="36" t="s">
        <v>155</v>
      </c>
    </row>
    <row r="12" spans="1:15" ht="16.5" x14ac:dyDescent="0.3">
      <c r="A12" s="36" t="s">
        <v>156</v>
      </c>
      <c r="H12" s="36" t="s">
        <v>144</v>
      </c>
      <c r="O12" s="36" t="s">
        <v>157</v>
      </c>
    </row>
    <row r="13" spans="1:15" ht="16.5" x14ac:dyDescent="0.3">
      <c r="A13" s="36" t="s">
        <v>158</v>
      </c>
      <c r="H13" s="36" t="s">
        <v>151</v>
      </c>
      <c r="O13" s="36" t="s">
        <v>159</v>
      </c>
    </row>
    <row r="14" spans="1:15" ht="16.5" x14ac:dyDescent="0.3">
      <c r="A14" s="36" t="s">
        <v>160</v>
      </c>
      <c r="H14" s="36" t="s">
        <v>161</v>
      </c>
      <c r="O14" s="36" t="s">
        <v>162</v>
      </c>
    </row>
    <row r="15" spans="1:15" ht="16.5" x14ac:dyDescent="0.3">
      <c r="A15" s="36" t="s">
        <v>163</v>
      </c>
      <c r="H15" s="36" t="s">
        <v>136</v>
      </c>
      <c r="O15" s="36" t="s">
        <v>164</v>
      </c>
    </row>
    <row r="16" spans="1:15" ht="16.5" x14ac:dyDescent="0.3">
      <c r="O16" s="36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08F051F1A7FA40B6E0D78DFA896E6F" ma:contentTypeVersion="16" ma:contentTypeDescription="Create a new document." ma:contentTypeScope="" ma:versionID="84ab51b2fdbd8a5d0e4e3d360ce79351">
  <xsd:schema xmlns:xsd="http://www.w3.org/2001/XMLSchema" xmlns:xs="http://www.w3.org/2001/XMLSchema" xmlns:p="http://schemas.microsoft.com/office/2006/metadata/properties" xmlns:ns3="d71ff2ac-62c7-44d6-abd7-1383af8796a8" xmlns:ns4="19621f95-9056-4b81-ab21-41233ae0d36d" targetNamespace="http://schemas.microsoft.com/office/2006/metadata/properties" ma:root="true" ma:fieldsID="09f79b92760fcbf60f9911539d38d740" ns3:_="" ns4:_="">
    <xsd:import namespace="d71ff2ac-62c7-44d6-abd7-1383af8796a8"/>
    <xsd:import namespace="19621f95-9056-4b81-ab21-41233ae0d36d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SystemTags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1ff2ac-62c7-44d6-abd7-1383af8796a8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21f95-9056-4b81-ab21-41233ae0d36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71ff2ac-62c7-44d6-abd7-1383af8796a8" xsi:nil="true"/>
  </documentManagement>
</p:properties>
</file>

<file path=customXml/itemProps1.xml><?xml version="1.0" encoding="utf-8"?>
<ds:datastoreItem xmlns:ds="http://schemas.openxmlformats.org/officeDocument/2006/customXml" ds:itemID="{9C41B327-53B8-4A28-9713-871C7102BF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8C204A-9F4A-4389-8778-0137EDD3CF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1ff2ac-62c7-44d6-abd7-1383af8796a8"/>
    <ds:schemaRef ds:uri="19621f95-9056-4b81-ab21-41233ae0d3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C14A29-15BF-4295-A4D0-EBD753714D8E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19621f95-9056-4b81-ab21-41233ae0d36d"/>
    <ds:schemaRef ds:uri="http://purl.org/dc/terms/"/>
    <ds:schemaRef ds:uri="http://schemas.microsoft.com/office/infopath/2007/PartnerControls"/>
    <ds:schemaRef ds:uri="d71ff2ac-62c7-44d6-abd7-1383af8796a8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Naval Example Data</vt:lpstr>
      <vt:lpstr>Naval Example</vt:lpstr>
      <vt:lpstr>Naval Example Complete</vt:lpstr>
      <vt:lpstr>COVID-19</vt:lpstr>
    </vt:vector>
  </TitlesOfParts>
  <Manager/>
  <Company>IT Carlow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Oisin Cawley</dc:creator>
  <cp:keywords/>
  <dc:description/>
  <cp:lastModifiedBy>Oisin Cawley</cp:lastModifiedBy>
  <cp:revision/>
  <cp:lastPrinted>2024-12-05T10:46:41Z</cp:lastPrinted>
  <dcterms:created xsi:type="dcterms:W3CDTF">2019-01-08T10:27:41Z</dcterms:created>
  <dcterms:modified xsi:type="dcterms:W3CDTF">2024-12-05T10:54:46Z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0x0101009908F051F1A7FA40B6E0D78DFA896E6F</vt:lpwstr>
  </property>
</Properties>
</file>